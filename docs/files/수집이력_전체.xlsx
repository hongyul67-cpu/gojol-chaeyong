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'수집이력'!$A$1:$Z$39</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CA5A5"/>
      </patternFill>
    </fill>
    <fill>
      <patternFill patternType="solid">
        <fgColor rgb="00FFF17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0" fillId="4" borderId="1" applyAlignment="1" pivotButton="0" quotePrefix="0" xfId="0">
      <alignment vertical="top" wrapText="1"/>
    </xf>
    <xf numFmtId="0" fontId="3" fillId="3"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korailtech.cairos.co.kr/korailtech/" TargetMode="External" Id="rId1"/><Relationship Type="http://schemas.openxmlformats.org/officeDocument/2006/relationships/hyperlink" Target="https://iwest.machuda.kr" TargetMode="External" Id="rId2"/><Relationship Type="http://schemas.openxmlformats.org/officeDocument/2006/relationships/hyperlink" Target="https://ksponco.kpcice.kr/Include/" TargetMode="External" Id="rId3"/><Relationship Type="http://schemas.openxmlformats.org/officeDocument/2006/relationships/hyperlink" Target="https://www.at.or.kr/article/apko364000/view.action?articleId=53289" TargetMode="External" Id="rId4"/><Relationship Type="http://schemas.openxmlformats.org/officeDocument/2006/relationships/hyperlink" Target="https://www.icpa.or.kr/recruit" TargetMode="External" Id="rId5"/><Relationship Type="http://schemas.openxmlformats.org/officeDocument/2006/relationships/hyperlink" Target="https://www.kwater.or.kr" TargetMode="External" Id="rId6"/><Relationship Type="http://schemas.openxmlformats.org/officeDocument/2006/relationships/hyperlink" Target="https://kogas-tech.saramin.co.kr/" TargetMode="External" Id="rId7"/><Relationship Type="http://schemas.openxmlformats.org/officeDocument/2006/relationships/hyperlink" Target="https://www.komsco.com/kor/88/recruitment/205?pageIndex=1&amp;searchCondition=&amp;searchKeyword=" TargetMode="External" Id="rId8"/><Relationship Type="http://schemas.openxmlformats.org/officeDocument/2006/relationships/hyperlink" Target="https://www.foodpolis.kr/web/Board/4424/detailView.do?pageIndex=1&amp;menu=2307" TargetMode="External" Id="rId9"/><Relationship Type="http://schemas.openxmlformats.org/officeDocument/2006/relationships/hyperlink" Target="https://www.kca.go.kr/kca/sub.do?menukey=5113&amp;mode=view&amp;no=1004559980" TargetMode="External" Id="rId10"/><Relationship Type="http://schemas.openxmlformats.org/officeDocument/2006/relationships/hyperlink" Target="https://www.lh.or.kr/board.es?mid=a10602060000&amp;bid=0053&amp;act=view&amp;list_no=734050&amp;tag=&amp;nPage=1" TargetMode="External" Id="rId11"/><Relationship Type="http://schemas.openxmlformats.org/officeDocument/2006/relationships/hyperlink" Target="https://www.kalis.or.kr/www/brd/m_630/view.do?seq=321&amp;srchFr=&amp;srchTo=&amp;srchWord=&amp;srchTp=&amp;itm_seq_1=0&amp;itm_seq_2=0&amp;multi_itm_seq=0&amp;company_cd=&amp;company_nm=&amp;p_stat=&amp;p_itmseq1=&amp;diviTp=" TargetMode="External" Id="rId12"/><Relationship Type="http://schemas.openxmlformats.org/officeDocument/2006/relationships/hyperlink" Target="http://www.nhis.or.kr/nhis/together/wbhaea02700m01.do?mode=view&amp;articleNo=11013562&amp;article.offset=0&amp;articleLimit=10" TargetMode="External" Id="rId13"/><Relationship Type="http://schemas.openxmlformats.org/officeDocument/2006/relationships/hyperlink" Target="https://kospo.machuda.kr" TargetMode="External" Id="rId14"/><Relationship Type="http://schemas.openxmlformats.org/officeDocument/2006/relationships/hyperlink" Target="https://kgs.saramin.co.kr/" TargetMode="External" Id="rId15"/><Relationship Type="http://schemas.openxmlformats.org/officeDocument/2006/relationships/hyperlink" Target="https://recruit.incruit.com/nibp/" TargetMode="External" Id="rId16"/><Relationship Type="http://schemas.openxmlformats.org/officeDocument/2006/relationships/hyperlink" Target="https://kepco-enc.cairos.co.kr/kepco-enc/" TargetMode="External" Id="rId17"/><Relationship Type="http://schemas.openxmlformats.org/officeDocument/2006/relationships/hyperlink" Target="https://www.ex.co.kr" TargetMode="External" Id="rId18"/><Relationship Type="http://schemas.openxmlformats.org/officeDocument/2006/relationships/hyperlink" Target="https://www.koagi.or.kr/www/user/bbs/BD_selectBbsList.do?q_bbsSn=1009" TargetMode="External" Id="rId19"/><Relationship Type="http://schemas.openxmlformats.org/officeDocument/2006/relationships/hyperlink" Target="https://fowi.or.kr/user/bbs/bbsView.do?bbsManageId=22&amp;bbsId=9165" TargetMode="External" Id="rId20"/><Relationship Type="http://schemas.openxmlformats.org/officeDocument/2006/relationships/hyperlink" Target="https://www.nps.or.kr/pnsgdnc/hiregdnc/getOHAE0004M0List.do?menuId=MN24000969" TargetMode="External" Id="rId21"/><Relationship Type="http://schemas.openxmlformats.org/officeDocument/2006/relationships/hyperlink" Target="https://www.busanpa.com/board/list.bpa?boardId=BBS_0000046&amp;menuCd=DOM_000000107001001000&amp;contentsSid=47" TargetMode="External" Id="rId22"/><Relationship Type="http://schemas.openxmlformats.org/officeDocument/2006/relationships/hyperlink" Target="https://www.kdic.or.kr" TargetMode="External" Id="rId23"/><Relationship Type="http://schemas.openxmlformats.org/officeDocument/2006/relationships/hyperlink" Target="https://nie.careeron.co.kr/#/" TargetMode="External" Id="rId24"/><Relationship Type="http://schemas.openxmlformats.org/officeDocument/2006/relationships/hyperlink" Target="https://ktl2026.careerlink.kr/" TargetMode="External" Id="rId25"/><Relationship Type="http://schemas.openxmlformats.org/officeDocument/2006/relationships/hyperlink" Target="https://kicox.saramin.co.kr" TargetMode="External" Id="rId26"/><Relationship Type="http://schemas.openxmlformats.org/officeDocument/2006/relationships/hyperlink" Target="https://recruit.snuh.org/joining/recruit/view.do?notice_type=E&amp;recruit_id=26110" TargetMode="External" Id="rId27"/><Relationship Type="http://schemas.openxmlformats.org/officeDocument/2006/relationships/hyperlink" Target="https://knoc.recruitlab.co.kr/" TargetMode="External" Id="rId28"/><Relationship Type="http://schemas.openxmlformats.org/officeDocument/2006/relationships/hyperlink" Target="https://kosha.or.kr/notification/jobncontract/job/jobdata?bbsId=B2025021400005&amp;pstNo=202608060856579OQYZ6" TargetMode="External" Id="rId29"/><Relationship Type="http://schemas.openxmlformats.org/officeDocument/2006/relationships/hyperlink" Target="https://komir.saramin.co.kr" TargetMode="External" Id="rId30"/><Relationship Type="http://schemas.openxmlformats.org/officeDocument/2006/relationships/hyperlink" Target="https://info.korail.com" TargetMode="External" Id="rId31"/><Relationship Type="http://schemas.openxmlformats.org/officeDocument/2006/relationships/hyperlink" Target="https://koenergy.saramin.co.kr" TargetMode="External" Id="rId32"/><Relationship Type="http://schemas.openxmlformats.org/officeDocument/2006/relationships/hyperlink" Target="https://www.kogas.or.kr" TargetMode="External" Id="rId33"/><Relationship Type="http://schemas.openxmlformats.org/officeDocument/2006/relationships/hyperlink" Target="https://www.hrdkorea.or.kr/3/1/2/2" TargetMode="External" Id="rId34"/><Relationship Type="http://schemas.openxmlformats.org/officeDocument/2006/relationships/hyperlink" Target="https://www.khnp.co.kr/recruit" TargetMode="External" Id="rId35"/><Relationship Type="http://schemas.openxmlformats.org/officeDocument/2006/relationships/hyperlink" Target="https://www.khnp.co.kr/recruit" TargetMode="External" Id="rId36"/><Relationship Type="http://schemas.openxmlformats.org/officeDocument/2006/relationships/hyperlink" Target="http://www.keiti.re.kr" TargetMode="External" Id="rId37"/><Relationship Type="http://schemas.openxmlformats.org/officeDocument/2006/relationships/hyperlink" Target="https://www.komipo.co.kr" TargetMode="External" Id="rId38"/></Relationships>
</file>

<file path=xl/worksheets/sheet1.xml><?xml version="1.0" encoding="utf-8"?>
<worksheet xmlns="http://schemas.openxmlformats.org/spreadsheetml/2006/main">
  <sheetPr>
    <outlinePr summaryBelow="1" summaryRight="1"/>
    <pageSetUpPr fitToPage="1"/>
  </sheetPr>
  <dimension ref="A1:Z39"/>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코레일테크(주)</t>
        </is>
      </c>
      <c r="D2" s="2" t="inlineStr">
        <is>
          <t>정규직,청년인턴(채용형)</t>
        </is>
      </c>
      <c r="E2" s="2" t="inlineStr">
        <is>
          <t>기계;전기;전자;시설</t>
        </is>
      </c>
      <c r="F2" s="2" t="inlineStr">
        <is>
          <t>사업관리,경영.회계.사무,보건.의료,기계,전기.전자,정보통신,환경.에너지.안전</t>
        </is>
      </c>
      <c r="G2" s="2" t="n">
        <v>19</v>
      </c>
      <c r="H2" s="3" t="inlineStr">
        <is>
          <t>재학생</t>
        </is>
      </c>
      <c r="I2" s="4" t="inlineStr">
        <is>
          <t>필요</t>
        </is>
      </c>
      <c r="J2" s="5" t="inlineStr"/>
      <c r="K2" s="5" t="n">
        <v>46302</v>
      </c>
      <c r="L2" s="5" t="n">
        <v>46316</v>
      </c>
      <c r="M2" s="2">
        <f>IF($L2="","미정",IF($L2&lt;TODAY(),"마감",IF($L2-TODAY()&lt;=7,"임박","진행중")))</f>
        <v/>
      </c>
      <c r="N2" s="5" t="inlineStr"/>
      <c r="O2" s="5" t="inlineStr"/>
      <c r="P2" s="5" t="inlineStr"/>
      <c r="Q2" s="2" t="inlineStr">
        <is>
          <t>1차(서류): 30배수 이내 2차(필기): 7배수 이내 최종(면접): 1배수 *최종합격자는 12주간 시용사원(채용형 인턴)으로 임용되며, 시용(인턴) 기간 종료 시 근무 실적 등 종합적으로 평가하여 일반직 임용 *보다 자세한 사항은 첨부파일의 채용공고문을 참고</t>
        </is>
      </c>
      <c r="R2" s="2" t="inlineStr"/>
      <c r="S2" s="2" t="inlineStr">
        <is>
          <t>1. 취업지원대상자: 각 전형마다 만점의 40%이상 득점한 자에 한하여 만점의 5% 또는 10% 가산 2. 장애인: 면접전형 경증 5점, 중증 10점 가점 3. 기초생활수급자, 비수도권지역인재, 경력단절여성, 다문화가족구성원, 북한이탈주민, 자립준비청년: 면접전형 3점 가점 4. 코레일테크 체험형인턴 수료자 가. 최우수 수료자: 서류, 필기전형 면제 나. 우수 수료자: 서류전형 면제 다. 그 외: 서류전형 3점 가점 5. 가점 자격증 보유자: 면접전형 1~5점 가점(자격증별 상이) *보다 자세한 사항은 첨부파일의 채용공고문을 참고 취업지원대상자, 장애인, 기초생활수급자, 비수도권지역인재, 경력단절여성, 다문화가족구성원, 북한이탈주민, 자립준비청년, 코레일테크 체험형인턴 수료자, 가점 자격증 보유자 등</t>
        </is>
      </c>
      <c r="T2" s="2" t="inlineStr"/>
      <c r="U2" s="6" t="inlineStr">
        <is>
          <t>https://korailtech.cairos.co.kr/korailtech/</t>
        </is>
      </c>
      <c r="V2" s="2" t="inlineStr">
        <is>
          <t>https://job.alio.go.kr/recruitview.do?idx=305774</t>
        </is>
      </c>
      <c r="W2" s="2" t="inlineStr">
        <is>
          <t>공공데이터 오픈API(2026-10-07 수집)</t>
        </is>
      </c>
      <c r="X2" s="2" t="inlineStr">
        <is>
          <t>🔵 잡알리오 신규 — 시트 반영 검토 필요 / ⚠️ 학교장 추천: &lt;최종 학력이 고등학교 졸업인 자(예정자 포함) 중 학교장 추천을 받은 자(학교당 3명 이내)&gt; / 학력요건: 학력무관,고졸,대졸(4년),석사 (고졸 지원 가능, 타 학력과 병행 선발) / 근무지: 서울,부산,대전 / 응시자격: &lt;공통 응시자격&gt; 1. 만 18세 이상 및 정년(만 61세) 미만인 자 2. 남성의 경우 군필 또는 면제자에 한함 *고졸 분야 미해당 3. 코레일테크㈜ 채용 결격사유에 해당되지 않는 자 4. 임용일로부터 근무가 가능한 자 ※ 자격 기준은 공고일(2026. 10. 7.) 현재를 기준으로 하며 연령 및 병역 기준은 입사일(2</t>
        </is>
      </c>
      <c r="Y2" s="2" t="inlineStr">
        <is>
          <t>305774</t>
        </is>
      </c>
      <c r="Z2" s="2" t="inlineStr">
        <is>
          <t>2026년 제2차 일반직사원(경력직 및 채용형인턴) 채용 공고</t>
        </is>
      </c>
    </row>
    <row r="3" ht="58" customHeight="1">
      <c r="A3" s="2" t="inlineStr"/>
      <c r="B3" s="2" t="inlineStr">
        <is>
          <t>확인필요</t>
        </is>
      </c>
      <c r="C3" s="2" t="inlineStr">
        <is>
          <t>한국서부발전(주)</t>
        </is>
      </c>
      <c r="D3" s="2" t="inlineStr">
        <is>
          <t>정규직</t>
        </is>
      </c>
      <c r="E3" s="2" t="inlineStr">
        <is>
          <t>기계;전기;전자</t>
        </is>
      </c>
      <c r="F3" s="2" t="inlineStr">
        <is>
          <t>기계,전기.전자</t>
        </is>
      </c>
      <c r="G3" s="2" t="inlineStr">
        <is>
          <t>18</t>
        </is>
      </c>
      <c r="H3" s="2" t="inlineStr">
        <is>
          <t>공통</t>
        </is>
      </c>
      <c r="I3" s="2" t="inlineStr">
        <is>
          <t>미표기</t>
        </is>
      </c>
      <c r="J3" s="5" t="inlineStr"/>
      <c r="K3" s="5" t="n">
        <v>46295</v>
      </c>
      <c r="L3" s="5" t="n">
        <v>46309</v>
      </c>
      <c r="M3" s="2">
        <f>IF($L3="","미정",IF($L3&lt;TODAY(),"마감",IF($L3-TODAY()&lt;=7,"임박","진행중")))</f>
        <v/>
      </c>
      <c r="N3" s="5" t="inlineStr"/>
      <c r="O3" s="5" t="inlineStr"/>
      <c r="P3" s="5" t="inlineStr"/>
      <c r="Q3" s="2" t="inlineStr">
        <is>
          <t>ㅇ 지원서 접수 - 접수기간 : 2026. 9. 30(수) 14:00 ~ 2026. 10. 14(수) 14:00 - 접수방법 : 인터넷으로만 접수 가능 ㅇ 전형방법 - 1차 서류전형(30배수): 외국어성적 제한없음. 채용홈페이지를 통한 입사지원서 작성 ※ 서류전형 면제자도 입사지원서는 필히 작성해야 하며, 불성실 기재자에 해당할 경우 불합격 처리 - 2차 필기전형(2~3배수): 직무지식평가(100점, 60분), 직업기초능력평가(100점, 60분), 인성검사(적부 판정, 20분) - 3차 역량구조화 면접(1배수): 개별인터뷰(60점), 직무상황면접(40점) / 2차 전형결과(30점 만점 환산), 면접점수(70점 만점 환산) 합산 후 고득점 서열 순으로 1배수 합격자 결정 - 최종: 3차 전형 합격자 중 신원조회 및 신체검사 결과 적격자 ※ 보다 자세한 사항은 첨부파일의 채용공고문을 참조</t>
        </is>
      </c>
      <c r="R3" s="2" t="inlineStr"/>
      <c r="S3" s="2" t="inlineStr">
        <is>
          <t xml:space="preserve">* 발전소 주변지역 주민 : 서류전형 면제, 이후 전형단계별 만점의 10% 가점 * 보훈대상자 : 서류전형 면제, 이후 전형단계별 만점의 5% 또는 10% 가점 * 장애인 : 서류전형 면제, 이후 전형단계별 만점의 10% 가점 * 저소득층 : 필기전형 만점의 5% 가점 * 북한이탈주민 : 필기전형 만점의 5% 가점 * 다문화가족 : 필기전형 만점의 5% 가점 * 자립준비청년 : 필기전형 만점의 5% 가점 * 당사 체험형 인턴 우수 수료자 : 필기전형 만점의 5% 가점 ※ 보훈대상자 가점 - 보훈대상자 가점 5%, 10%를 구분하여 적용 - 일반전형 : 「국가유공자 등 예우 및 지원에 관한 법률」 제31조에 따라 모집인원 4명 이상인 분야에 한하여 적용 ※ 저소득층의 경우 모집 공고일('26.9.30.) 이후 발급분에 한하여 인정하며, 증빙서류 상 지원자 본인이 수급대상자인 경우에 한함 ※ 자립준비청년의 경우 모집공고일('26.9.30.) 기준 「청년고용촉진 특별법 시행령」에 따른 청년(만 15세 이상 만 34세 이하)에 한함 ※ 당사 체험형인턴 우수 수료자 - '24.10.1. 이후 당사에서 근무한 체험형 인턴 중 우수 수료자에 선정된 자 - 인턴 계약기간 </t>
        </is>
      </c>
      <c r="T3" s="2" t="inlineStr"/>
      <c r="U3" s="6" t="inlineStr">
        <is>
          <t>https://iwest.machuda.kr</t>
        </is>
      </c>
      <c r="V3" s="2" t="inlineStr">
        <is>
          <t>https://job.alio.go.kr/recruitview.do?idx=305554</t>
        </is>
      </c>
      <c r="W3" s="2" t="inlineStr">
        <is>
          <t>공공데이터 오픈API(2026-10-01 수집)</t>
        </is>
      </c>
      <c r="X3" s="2" t="inlineStr">
        <is>
          <t>🔵 잡알리오 신규 — 시트 반영 검토 필요 / 학력요건: 고졸 / 근무지: 인천,경기,충남,전북,전남광주,경북 / 응시자격: * 학력: 고졸자 혹은 '27. 2월 고등학교 졸업예정자, 최종학력이 고졸인 자로서 고등학교 검정고시 합격자, 대학 중퇴자, 재학·휴학 중인 자 포함 * 자격: 지원자격 중 학력요건에 해당하는 자 * 어학 : 제한없음 * 연령 : 제한없음(단, 만 60세 이상 지원불가) ※ 당사 취업규칙 제59조(정년퇴직)에 의거 만60</t>
        </is>
      </c>
      <c r="Y3" s="2" t="inlineStr">
        <is>
          <t>305554</t>
        </is>
      </c>
      <c r="Z3" s="2" t="inlineStr">
        <is>
          <t>2026년도 하반기 4직급 고졸 신입사원 모집 공고</t>
        </is>
      </c>
    </row>
    <row r="4" ht="58" customHeight="1">
      <c r="A4" s="2" t="inlineStr"/>
      <c r="B4" s="2" t="inlineStr">
        <is>
          <t>확인필요</t>
        </is>
      </c>
      <c r="C4" s="2" t="inlineStr">
        <is>
          <t>한국체육산업개발(주)</t>
        </is>
      </c>
      <c r="D4" s="2" t="inlineStr">
        <is>
          <t>정규직</t>
        </is>
      </c>
      <c r="E4" s="2" t="inlineStr">
        <is>
          <t>시설;기계;전기;전자</t>
        </is>
      </c>
      <c r="F4" s="2" t="inlineStr">
        <is>
          <t>경영.회계.사무,건설,기계,전기.전자</t>
        </is>
      </c>
      <c r="G4" s="2" t="inlineStr">
        <is>
          <t>15</t>
        </is>
      </c>
      <c r="H4" s="3" t="inlineStr">
        <is>
          <t>재학생</t>
        </is>
      </c>
      <c r="I4" s="2" t="inlineStr">
        <is>
          <t>미표기</t>
        </is>
      </c>
      <c r="J4" s="5" t="inlineStr"/>
      <c r="K4" s="5" t="n">
        <v>46294</v>
      </c>
      <c r="L4" s="5" t="n">
        <v>46308</v>
      </c>
      <c r="M4" s="2">
        <f>IF($L4="","미정",IF($L4&lt;TODAY(),"마감",IF($L4-TODAY()&lt;=7,"임박","진행중")))</f>
        <v/>
      </c>
      <c r="N4" s="5" t="inlineStr"/>
      <c r="O4" s="5" t="inlineStr"/>
      <c r="P4" s="5" t="inlineStr"/>
      <c r="Q4" s="2" t="inlineStr">
        <is>
          <t>1차 서류전형(NCS기반 입사지원서, 자기소개서, 경험기술서) 2차 필기전형[NCS직업공통능력평가, NCS직무지식평가] 3차 인성검사(비대면 인성검사) 4차 면접전형[1차 토의면접, 2차 종합(경험)면접] 5차 임용(최종 시보 임용)</t>
        </is>
      </c>
      <c r="R4" s="2" t="inlineStr"/>
      <c r="S4" s="2" t="inlineStr">
        <is>
          <t xml:space="preserve">1. 취업지원대상자 ○ 전형단계별 5%, 10% 가점 ※「국가유공자 등 예우 및 지원에 관한 법률」 등 관계법령에 따른 취업지원대상자 ※국가유공자 등 채용시험 가점제도 관련 가이드라인 : 첨부 4) 참조 2. 장애인 ○ 전형단계별 5% 가점 ※「장애인고용촉진 및 직업재활법」 및 동법 시행령에 따른 장애인 3. 저소득층 ○ 전형단계별 3% 가점 ※「국민기초생활보장법」에 따른 기초생활수급자 또는 「한부모가족지원법」에 따른 한부모가족 지원대상자 4. 자립준비청년 ○ 서류단계 1.5% 가점 ※「아동복지법」에 따라 가정위탁 보호조치가 종료되거나 아동복지시설에서 퇴소한지 5년 이내인 자 5. 북한이탈주민 ○ 서류단계 1.5% 가점 ※「북한이탈주민의 보호 및 정착지원에 관한 법률」 제2조 제1호에 따른 북한이탈주민 6. 다문화가족 ○ 서류단계 1.5% 가점 ※「다문화가족지원법」 제2조에 따른 다문화가족 7. 비수도권 지역인재 ○ 서류단계 3% 가점 ※대학까지의 최종학력(대학원 이상 제외)을 기준으로 서울, 경기, 인천 지역을 제외한 비수도권 지방학교 졸업(예정)자 ※비수도권지역인재 인정범위 : 첨부 5) 참조 8. 서류전형 면제 ○ 채용공고일 기준 최종입사일 이후 2년 </t>
        </is>
      </c>
      <c r="T4" s="2" t="inlineStr"/>
      <c r="U4" s="6" t="inlineStr">
        <is>
          <t>https://ksponco.kpcice.kr/Include/</t>
        </is>
      </c>
      <c r="V4" s="2" t="inlineStr">
        <is>
          <t>https://job.alio.go.kr/recruitview.do?idx=305515</t>
        </is>
      </c>
      <c r="W4" s="2" t="inlineStr">
        <is>
          <t>공공데이터 오픈API(2026-09-30 수집)</t>
        </is>
      </c>
      <c r="X4" s="2" t="inlineStr">
        <is>
          <t>🔵 잡알리오 신규 — 시트 반영 검토 필요 / 학력요건: 학력무관,고졸 (고졸 지원 가능, 타 학력과 병행 선발) / 근무지: 서울,경기 / 응시자격: [공통] ○ 학력, 성별, 연령 등 제한 없음 (단, 당사 인사규정에 따라 정년 60세 초과자는 제외) ○「국가공무원법」 제33조 및 당사 인사규정 제20조에 의한 결격 사유에 해당하지 않는 자 * 인사규정 제20조에 의한 결격 사유: 첨부 2) 참조 ○「부패방지 및 국민권익위원회의 설치와 운영에 관한 법률」 제82조제1</t>
        </is>
      </c>
      <c r="Y4" s="2" t="inlineStr">
        <is>
          <t>305515</t>
        </is>
      </c>
      <c r="Z4" s="2" t="inlineStr">
        <is>
          <t>2026년도 NCS기반 신규직원 블라인드 채용 공고</t>
        </is>
      </c>
    </row>
    <row r="5" ht="58" customHeight="1">
      <c r="A5" s="2" t="inlineStr"/>
      <c r="B5" s="2" t="inlineStr">
        <is>
          <t>확인필요</t>
        </is>
      </c>
      <c r="C5" s="2" t="inlineStr">
        <is>
          <t>한국농수산식품유통공사</t>
        </is>
      </c>
      <c r="D5" s="2" t="inlineStr">
        <is>
          <t>정규직</t>
        </is>
      </c>
      <c r="E5" s="2" t="inlineStr">
        <is>
          <t>시설;전자</t>
        </is>
      </c>
      <c r="F5" s="2" t="inlineStr">
        <is>
          <t>사업관리,경영.회계.사무,건설,정보통신,환경.에너지.안전,농림어업</t>
        </is>
      </c>
      <c r="G5" s="2" t="inlineStr">
        <is>
          <t>66</t>
        </is>
      </c>
      <c r="H5" s="2" t="inlineStr">
        <is>
          <t>공통</t>
        </is>
      </c>
      <c r="I5" s="2" t="inlineStr">
        <is>
          <t>미표기</t>
        </is>
      </c>
      <c r="J5" s="5" t="inlineStr"/>
      <c r="K5" s="5" t="n">
        <v>46293</v>
      </c>
      <c r="L5" s="5" t="n">
        <v>46308</v>
      </c>
      <c r="M5" s="2">
        <f>IF($L5="","미정",IF($L5&lt;TODAY(),"마감",IF($L5-TODAY()&lt;=7,"임박","진행중")))</f>
        <v/>
      </c>
      <c r="N5" s="5" t="inlineStr"/>
      <c r="O5" s="5" t="inlineStr"/>
      <c r="P5" s="5" t="inlineStr"/>
      <c r="Q5" s="2" t="inlineStr">
        <is>
          <t>【전형 절차】 서류전형 → 필기전형 → 직무능력면접전형 → 경영진면접전형 □ 서류전형 - 외국어, 직무자격, 자기소개서 / 20배수 선발 * 행정(유공, 장애)는 적격자 전원 선발 □ 필기전형 - 직업기초능력평가, 직무수행능력평가, 직업성격검사 / 3~5배수 선발 □ 직무능력면접전형 - 역량면접, 토론면접 / 1.5~3배수 선발 □ 경영진면접전형 - 종합면접 / 1배수 선발 ※ 모집분야에 따른 전형별 자세한 평가항목은 첨부의 공고문 참고</t>
        </is>
      </c>
      <c r="R5" s="2" t="inlineStr"/>
      <c r="S5" s="2" t="inlineStr">
        <is>
          <t xml:space="preserve">□ 취업지원대상자 : 전형별 5 또는 10% 가점 □ 장애인 : (중증) 전형별 15% 가점, (경증) 전형별 10% 가점 □ 의사상자 : 서류, 필기전형 10% 가점 □ 고급자격증 보유자 : 서류, 필기전형 10% 가점 □ 2개 외국어 우수자 : 서류전형 10% 가점 □ 공사(aT) 근무경력 180일 이상인 자 : 서류전형 10% 가점 □ 공사(aT) 체험형 청년인턴 : (우수수료자) 서류전형 10% 가점, (수료자) 서류전형 5% 가점 □ 저소득층, 북한이탈주민, 다문화가족 자녀, 한부모가족 지원 대상자, 경력단절여성, 자립준비청년, 농어업인 자녀 : 서류전형 5% 가점 □ 본사 이전지역인재, 비수도권 지역인재 : 서류전형 5% 가점 □ 한국사능력검정시험(2급이상), KBS한국어능력(2+급이상), 국어능력인증시험·한국실용글쓰기(2급이상) : 서류전형 5% 가점 ※ 가점 대상자별 정의는 첨부의 공고문 참고 ※ 가점은 가장 유리한 하나만 적용하며, 취업지원대상자 및 장애인 가점은 상호 간 및 그 밖의 가점과 중복하여 적용할 수 있음 취업지원대상자, 장애인, 의사상자, 저소득층, 북한이탈주민, 다문화가족 자녀, 한부모가족 지원 대상자, 자립준비청년, 지역인재 </t>
        </is>
      </c>
      <c r="T5" s="2" t="inlineStr"/>
      <c r="U5" s="6" t="inlineStr">
        <is>
          <t>https://www.at.or.kr/article/apko364000/view.action?articleId=53289</t>
        </is>
      </c>
      <c r="V5" s="2" t="inlineStr">
        <is>
          <t>https://job.alio.go.kr/recruitview.do?idx=305395</t>
        </is>
      </c>
      <c r="W5" s="2" t="inlineStr">
        <is>
          <t>공공데이터 오픈API(2026-09-29 수집)</t>
        </is>
      </c>
      <c r="X5" s="2" t="inlineStr">
        <is>
          <t>🔵 잡알리오 신규 — 시트 반영 검토 필요 / 학력요건: 학력무관,고졸 (고졸 지원 가능, 타 학력과 병행 선발) / 근무지: 서울,부산,대구,인천,대전,경기,강원,충북,전북,전남광주,경남,제주 / 응시자격: 【공통지원자격】 □ 성별, 연령, 전공 제한 없음 / 단, 임용예정일(`26.12.31.) 기준 정년(만 60세) 미만인 자 □ 임용예정일(`26.12.31.)부터 즉시 근무 가능한 자 □ 공사 인사규정 제7조에 따른 채용 결격사유에 해당하지 않는 자 【모집분야별 세부지원자격】 □ 신입(5급) - 행정(일반) : 공인어학</t>
        </is>
      </c>
      <c r="Y5" s="2" t="inlineStr">
        <is>
          <t>305395</t>
        </is>
      </c>
      <c r="Z5" s="2" t="inlineStr">
        <is>
          <t>2026년 신입직원 채용공고</t>
        </is>
      </c>
    </row>
    <row r="6" ht="58" customHeight="1">
      <c r="A6" s="2" t="inlineStr"/>
      <c r="B6" s="2" t="inlineStr">
        <is>
          <t>확인필요</t>
        </is>
      </c>
      <c r="C6" s="2" t="inlineStr">
        <is>
          <t>인천항만공사</t>
        </is>
      </c>
      <c r="D6" s="2" t="inlineStr">
        <is>
          <t>청년인턴(채용형)</t>
        </is>
      </c>
      <c r="E6" s="2" t="inlineStr">
        <is>
          <t>시설;기계;전기;전자</t>
        </is>
      </c>
      <c r="F6" s="2" t="inlineStr">
        <is>
          <t>경영.회계.사무,건설,기계,전기.전자,환경.에너지.안전</t>
        </is>
      </c>
      <c r="G6" s="2" t="inlineStr">
        <is>
          <t>10</t>
        </is>
      </c>
      <c r="H6" s="2" t="inlineStr">
        <is>
          <t>공통</t>
        </is>
      </c>
      <c r="I6" s="2" t="inlineStr">
        <is>
          <t>미표기</t>
        </is>
      </c>
      <c r="J6" s="5" t="inlineStr"/>
      <c r="K6" s="5" t="n">
        <v>46288</v>
      </c>
      <c r="L6" s="5" t="n">
        <v>46303</v>
      </c>
      <c r="M6" s="2">
        <f>IF($L6="","미정",IF($L6&lt;TODAY(),"마감",IF($L6-TODAY()&lt;=7,"임박","진행중")))</f>
        <v/>
      </c>
      <c r="N6" s="5" t="inlineStr"/>
      <c r="O6" s="5" t="inlineStr"/>
      <c r="P6" s="5" t="inlineStr"/>
      <c r="Q6" s="2" t="inlineStr">
        <is>
          <t>ㅇ 채용형 인턴 사무(일반행정-고졸) : 입사지원(온라인 접수) → 서류전형(적격자 전원선발) → 필기전형(인성검사, 직업기초능력평가) → 면접전형(역량면접) → 임용(신체검사 및 신원조사 적격자) ㅇ 채용형 인턴 사무(일반행정) : 입사지원(온라인 접수) → 서류전형(최종선발예정인원의 70배수 선발) → 필기전형(인성검사, 직업기초능력평가, 직무수행능력평가) → 면접전형(토론면접, 역량면접) → 임용(신체검사 및 신원조사 적격자) ㅇ 채용형 인턴 건설(토목, 건축), 시설(기계, 전기) : 입사지원(온라인 접수) → 서류전형(최종선발예정인원의 30배수 선발) → 필기전형(인성검사, 직업기초능력평가, 직무수행능력평가) → 면접전형(토론면접, 역량면접) → 임용(신체검사 및 신원조사 적격자)</t>
        </is>
      </c>
      <c r="R6" s="2" t="inlineStr"/>
      <c r="S6" s="2" t="inlineStr">
        <is>
          <t>ㅇ 장애인 : 서류, 필기, 면접(총점의 5%) ㅇ 중증장애인 : 서류, 필기, 면접(총점의 7%) ㅇ 취업지원대상자 : 서류, 필기, 면접(총점의 5~10%) ㅇ 저소득층 : 필기(총점의 5%) ㅇ 다문화가족 : 필기(총점의 5%) ㅇ 북한이탈주민 : 필기(총점의 5%) ㅇ 자립준비 청년 : 필기(총점의 5%) ㅇ 의사상자 : 필기(총점의 3~5%) ㅇ 비수도권 지역인재 : 필기(총점의 3%) ㅇ 당사 우수인턴 : 필기(총점의 3%) 장애인(중증장애인 포함), 취업지원 대상자, 저소득층, 다문화가족, 북한이탈주민, 자립준비 청년, 의사상자, 비수도권 지역인재, 당사 우수인턴 - 보다 자세한 사항은 첨부파일의 채용공고문을 참조</t>
        </is>
      </c>
      <c r="T6" s="2" t="inlineStr"/>
      <c r="U6" s="6" t="inlineStr">
        <is>
          <t>https://www.icpa.or.kr/recruit</t>
        </is>
      </c>
      <c r="V6" s="2" t="inlineStr">
        <is>
          <t>https://job.alio.go.kr/recruitview.do?idx=305295</t>
        </is>
      </c>
      <c r="W6" s="2" t="inlineStr">
        <is>
          <t>공공데이터 오픈API(2026-09-24 수집)</t>
        </is>
      </c>
      <c r="X6" s="2" t="inlineStr">
        <is>
          <t>🔵 잡알리오 신규 — 시트 반영 검토 필요 / 학력요건: 학력무관,고졸 (고졸 지원 가능, 타 학력과 병행 선발) / 근무지: 인천 / 응시자격: &lt;일반 공통 자격요건&gt; ㅇ 연령 : 제한 없음 (단, 임용예정일 기준 공사 정년인 만 60세 미만인 자) ㅇ 국적 : 대한민국 국적을 보유한 자 ㅇ 학력 및 전공 : 제한 없음 ㅇ 병역 : 병역법 제76조에서 정한 병역의무 불이행 사실이 없는 자, 현역의 경우 면접합격자 발표일 이전 전역(소집해제) 가능한 자 ㅇ 기타 :</t>
        </is>
      </c>
      <c r="Y6" s="2" t="inlineStr">
        <is>
          <t>305295</t>
        </is>
      </c>
      <c r="Z6" s="2" t="inlineStr">
        <is>
          <t>2026년 하반기 인천항만공사 채용형 인턴 채용공고</t>
        </is>
      </c>
    </row>
    <row r="7" ht="58" customHeight="1">
      <c r="A7" s="2" t="inlineStr"/>
      <c r="B7" s="2" t="inlineStr">
        <is>
          <t>확인필요</t>
        </is>
      </c>
      <c r="C7" s="2" t="inlineStr">
        <is>
          <t>한국수자원공사</t>
        </is>
      </c>
      <c r="D7" s="2" t="inlineStr">
        <is>
          <t>정규직</t>
        </is>
      </c>
      <c r="E7" s="2" t="inlineStr">
        <is>
          <t>시설;기계;전기;전자</t>
        </is>
      </c>
      <c r="F7" s="2" t="inlineStr">
        <is>
          <t>사업관리,건설,기계,화학,전기.전자,정보통신,환경.에너지.안전</t>
        </is>
      </c>
      <c r="G7" s="2" t="inlineStr">
        <is>
          <t>40</t>
        </is>
      </c>
      <c r="H7" s="3" t="inlineStr">
        <is>
          <t>재학생</t>
        </is>
      </c>
      <c r="I7" s="2" t="inlineStr">
        <is>
          <t>미표기</t>
        </is>
      </c>
      <c r="J7" s="5" t="inlineStr"/>
      <c r="K7" s="5" t="n">
        <v>46288</v>
      </c>
      <c r="L7" s="5" t="n">
        <v>46302</v>
      </c>
      <c r="M7" s="2">
        <f>IF($L7="","미정",IF($L7&lt;TODAY(),"마감",IF($L7-TODAY()&lt;=7,"임박","진행중")))</f>
        <v/>
      </c>
      <c r="N7" s="5" t="inlineStr"/>
      <c r="O7" s="5" t="inlineStr"/>
      <c r="P7" s="5" t="inlineStr"/>
      <c r="Q7" s="2" t="inlineStr">
        <is>
          <t>[전형절차] 1. 1차 전형(필기) : NCS직업공통능력평가(50점) + 직무능력평가(50점) * 2~5배수 선발 (공고문 참고) * 보훈 분야는 필기 미진행 2. 자기기술서(자기소개서, 경험기술서) 제출 및 직업성격검사 (1차 전형 합격자 대상) - 직업성격검사 : 조직 적응역량 등 검사 (공고문 참고) 3. 2차 전형(면접) : 직무PT면접(40점) + 경험역량면접(60점) * 1배수 선발 4. 자격요건 적부심사 : 지원자격, 자격증 등 관련 기관 진위 확인 후 적부심사 위원회를 통하여 적부 판정 [기타사항] 1. 최종 합격자는 1차 전형 점수(100점) + 2차 전형 점수(100점) + 가점 고득점자 순으로 결정 * 세부내용은 공고문 참고 2. 수습(3개월) 직원으로 채용 후 평가를 통해 일정 점수 이상인 자에 한해 수습해제(수습 중 근무평가 등이 불량할 경우 면직)</t>
        </is>
      </c>
      <c r="R7" s="2" t="inlineStr"/>
      <c r="S7" s="2" t="inlineStr">
        <is>
          <t>1. 취업지원 대상자 : 각 전형 단계별 점수 만점의 5% 또는 10% 가산 2. K-water 재직 중인 직원 : (2년 이상 3년 미만 근무자) 1차 전형 점수 만점의 범위 내에서 5% 가산, (3년 이상 근무자) 1차 전형 점수 만점의 범위 내에서 10% 가산 3. 장애인(본인) : 각 전형 단계별 점수 만점의 범위 내에서 10% 가산 4. 직무 관련 분야 자격증 소지자 : (산업기사) 1차 전형 점수 만점의 범위 내에서 2% 가산, (기사 이상) 1차 전형 점수 만점의 범위 내에서 5% 가산 취업지원 대상자, 장애인, K-water 재직 중인 직원, 직무 관련 분야 자격증(산업기사 이상) 소지자</t>
        </is>
      </c>
      <c r="T7" s="2" t="inlineStr"/>
      <c r="U7" s="6" t="inlineStr">
        <is>
          <t>https://www.kwater.or.kr</t>
        </is>
      </c>
      <c r="V7" s="2" t="inlineStr">
        <is>
          <t>https://job.alio.go.kr/recruitview.do?idx=305296</t>
        </is>
      </c>
      <c r="W7" s="2" t="inlineStr">
        <is>
          <t>공공데이터 오픈API(2026-09-24 수집)</t>
        </is>
      </c>
      <c r="X7" s="2" t="inlineStr">
        <is>
          <t>🔵 잡알리오 신규 — 시트 반영 검토 필요 / 학력요건: 고졸 / 근무지: 부산,대구,인천,대전,울산,세종,경기,강원,충북,충남,전북,전남광주,경북,경남,제주 / 응시자격: 1. 최종 학력이 고등학교를 졸업하였거나, 졸업예정('27. 2월)인 자 (단, 공고 마감일 기준 정년(만 60세) 이상인 자는 지원 불가) * 보다 자세한 사항은 첨부파일의 채용공고문을 참조 2. 직무 관련 분야(공통, 토목, 전기, 기계, 전자통신, 환경) 기능사 이상 자격증 소지자 3. K-water 인사규정의 채용</t>
        </is>
      </c>
      <c r="Y7" s="2" t="inlineStr">
        <is>
          <t>305296</t>
        </is>
      </c>
      <c r="Z7" s="2" t="inlineStr">
        <is>
          <t>[한국수자원공사] 2026년 하반기 시설운영직 고졸 신입사원 공채</t>
        </is>
      </c>
    </row>
    <row r="8" ht="58" customHeight="1">
      <c r="A8" s="2" t="inlineStr"/>
      <c r="B8" s="2" t="inlineStr">
        <is>
          <t>확인필요</t>
        </is>
      </c>
      <c r="C8" s="2" t="inlineStr">
        <is>
          <t>(주)한국가스기술공사</t>
        </is>
      </c>
      <c r="D8" s="2" t="inlineStr">
        <is>
          <t>정규직</t>
        </is>
      </c>
      <c r="E8" s="2" t="inlineStr">
        <is>
          <t>시설;기계;전기;전자</t>
        </is>
      </c>
      <c r="F8" s="2" t="inlineStr">
        <is>
          <t>건설,기계,전기.전자</t>
        </is>
      </c>
      <c r="G8" s="2" t="inlineStr">
        <is>
          <t>91</t>
        </is>
      </c>
      <c r="H8" s="2" t="inlineStr">
        <is>
          <t>확인필요</t>
        </is>
      </c>
      <c r="I8" s="2" t="inlineStr">
        <is>
          <t>미표기</t>
        </is>
      </c>
      <c r="J8" s="5" t="inlineStr"/>
      <c r="K8" s="5" t="n">
        <v>46286</v>
      </c>
      <c r="L8" s="5" t="n">
        <v>46301</v>
      </c>
      <c r="M8" s="2">
        <f>IF($L8="","미정",IF($L8&lt;TODAY(),"마감",IF($L8-TODAY()&lt;=7,"임박","진행중")))</f>
        <v/>
      </c>
      <c r="N8" s="5" t="inlineStr"/>
      <c r="O8" s="5" t="inlineStr"/>
      <c r="P8" s="5" t="inlineStr"/>
      <c r="Q8" s="2" t="inlineStr">
        <is>
          <t>&lt;일반직, 특정직&gt; ○ 1차(서류전형) : 우대사항 평가, 20배수 ○ 2차(필기전형) : 직무분야(50%), 직업기초능력(50%), 인성검사(적부), 2~5배수 ○ 3차(면접전형) : 면접전형(100%), 1배수 [합격자 결정] 분아별 채용계획인원 범위 내에서 필기점수[직무전공 점수(50%)+NCS직업공통능력(50%)의 30%]와 면접전형(70%) 점수를 합산하여 고득점자 순으로 결정 ○ 동점자 처리기준 1. [全 분야] 취업지원대상자 중 가점 고득점자 2. [全 분야] 장애인 3. [全 분야] 면접점수 중 직업기초능력점수 고득점자 4. [全 분야] 필기전형 총점(가점 포함) 고득점자 5. [全 분야] 사회형평적 채용(다문화가족, 기초생활수급자, 자립준비청년, 의사상자, 북한이탈주민) 가점 총점기준 고득점자 6. [全 분야] 청년인턴 수료자 중 최우수인턴 ※ 기준 모두 적용 후 동점일 경우 동점자 전원 합격처리</t>
        </is>
      </c>
      <c r="R8" s="2" t="inlineStr"/>
      <c r="S8" s="2" t="inlineStr">
        <is>
          <t>&lt;공통사항&gt; ○ 「국가유공자 등 예우 및 지원에 관한 법률」 등 보훈관계법률에 따른 가점대상자 가점 부여(만점의 10% 또는 5%)(단, 동법 제31조에 따라 가점합격자 상한제 적용) ○ 「장애인고용촉진 및 직업재활법」에 의한 장애인으로 등록된 자 우대 ○ 「다문화가족지원법」에 의한 다문화가족(필기전형에 한함) ○ 「국민기초생활보장법」에 의한 기초생활수급자(주민등록상 세대원 포함, 필기전형에 한함) ○ 「아동복지법」 제16조에 따라 보호시설을 퇴소한 지 5년 이내(공고일 기준)인 자(필기전형에 한함) ○ 「의사상자 등 예우 및 지원에 관한 법률」에 의한 의사상자 본인 및 가족(필기전형에 한함) ○ 「북한이탈주민의 보호 및 정착지원에 관한 법률」에 해당하는 북한이탈주민(필기전형에 한함) ※ 직렬별 상세 우대사항 채용공고 참조 &lt;일반직_신입_6급2_기계,전기,토목_전국&gt; ○ 직무 및 안전분야 우대 국가기술자격증 소지자 ○ 영어 기준 점수 이상 ○ 공사재직자 : 우리공사 특정직, 무기계약직 직원으로 근무 중인 자 &lt;일반직_신입_7급_기계,전기_전국&gt; ○ 직무 및 안전분야 우대 국가기술자격증 소지자 ○ 영어 기준 점수 이상 ○ 공사재직자 : 우리공사 특정직, 무기계</t>
        </is>
      </c>
      <c r="T8" s="2" t="inlineStr"/>
      <c r="U8" s="6" t="inlineStr">
        <is>
          <t>https://kogas-tech.saramin.co.kr/</t>
        </is>
      </c>
      <c r="V8" s="2" t="inlineStr">
        <is>
          <t>https://job.alio.go.kr/recruitview.do?idx=305190</t>
        </is>
      </c>
      <c r="W8" s="2" t="inlineStr">
        <is>
          <t>공공데이터 오픈API(2026-09-22 수집)</t>
        </is>
      </c>
      <c r="X8" s="2" t="inlineStr">
        <is>
          <t>🔵 잡알리오 신규 — 시트 반영 검토 필요 / 학력요건: 학력무관,고졸 (고졸 지원 가능, 타 학력과 병행 선발) / 근무지: 서울,부산,대구,인천,대전,울산,세종,경기,강원,충북,충남,전북,전남광주,경북,경남,제주 / 응시자격: &lt;공통사항&gt; ○ 연령·성별 제한없음(단, 임용일 기준 만60세 초과자 제외 : 정년적용) ○ 학력·전공 제한없음 ○ 병역법 제76조(병역의무 불이행자에 대한 제재)에서 정한 병역의무 불이행 사실이 없으며 병역을 필하였거나 면제받은 자 ※ 임용일 전까지 전역 가능한 자 포함. 단, 7급의 경우 병역미필자 응시가능 ○ 임용일</t>
        </is>
      </c>
      <c r="Y8" s="2" t="inlineStr">
        <is>
          <t>305190</t>
        </is>
      </c>
      <c r="Z8" s="2" t="inlineStr">
        <is>
          <t>2026년 하반기 신입직원 공개채용</t>
        </is>
      </c>
    </row>
    <row r="9" ht="58" customHeight="1">
      <c r="A9" s="2" t="inlineStr"/>
      <c r="B9" s="2" t="inlineStr">
        <is>
          <t>확인필요</t>
        </is>
      </c>
      <c r="C9" s="2" t="inlineStr">
        <is>
          <t>한국조폐공사</t>
        </is>
      </c>
      <c r="D9" s="2" t="inlineStr">
        <is>
          <t>청년인턴(채용형)</t>
        </is>
      </c>
      <c r="E9" s="2" t="inlineStr">
        <is>
          <t>기계;전기;전자;시설</t>
        </is>
      </c>
      <c r="F9" s="2" t="inlineStr">
        <is>
          <t>사업관리,경영.회계.사무,문화.예술.디자인.방송,영업판매,기계,화학,전기.전자,정보통신,인쇄.목재.가구.공예,환경.에너지.안전,농림어업,연구</t>
        </is>
      </c>
      <c r="G9" s="2" t="inlineStr">
        <is>
          <t>57</t>
        </is>
      </c>
      <c r="H9" s="2" t="inlineStr">
        <is>
          <t>공통</t>
        </is>
      </c>
      <c r="I9" s="2" t="inlineStr">
        <is>
          <t>미표기</t>
        </is>
      </c>
      <c r="J9" s="5" t="inlineStr"/>
      <c r="K9" s="5" t="n">
        <v>46283</v>
      </c>
      <c r="L9" s="5" t="n">
        <v>46297</v>
      </c>
      <c r="M9" s="2">
        <f>IF($L9="","미정",IF($L9&lt;TODAY(),"마감",IF($L9-TODAY()&lt;=7,"임박","진행중")))</f>
        <v/>
      </c>
      <c r="N9" s="5" t="inlineStr"/>
      <c r="O9" s="5" t="inlineStr"/>
      <c r="P9" s="5" t="inlineStr"/>
      <c r="Q9" s="2" t="inlineStr">
        <is>
          <t>ㅇ 1차전형 - 일반분야(25배수) * 행정사무, 행정기술, 기계기술, ICT(장애, 보훈 포함) : 직무자격(60점), 영어성적(40점) * 전자기술(고졸) : 내신성적(50점), 직무자격(30점), 영어성적(20점) - 연구분야(6배수) * 화공 : 논문평가(70점), 학위평가(30점) * 디자인 : 포트폴리오평가(70점), 직무자격(30점) ㅇ 2차전형 - 일반분야(3배수) * 행정사무, 행정기술, 기계기술, ICT(장애, 보훈 포함) : 직무수행능력평가(40점), 직업공통능력평가(60점) * 전자기술(고졸) : 직업공통능력평가(100점) - 연구분야(3배수) * 화공 : 논문발표평가(100점) * 디자인 : 실기평가(100점) ㅇ 3차전형 - 일반분야(1배수) * 행정사무, 행정기술, 기계기술, 전자기술(장애, 보훈, 고졸 포함) : 직무역량(40점) 및 조직적합성(60점) 면접평가 * ICT : 발표평가(40점), 조직적합성(60점) 면접평가 - 연구분야(1배수) * 화공 및 디자인 : 직무역량(40점) 및 조직적합성(60점) 면접평가 ※ 상세내용은 첨부파일을 참조하여 주시기 바랍니다.</t>
        </is>
      </c>
      <c r="R9" s="2" t="inlineStr"/>
      <c r="S9" s="2" t="inlineStr">
        <is>
          <t>ㅇ 취업지원대상자 : 만점의 5%, 10% 가점(공통, 매 전형) ㅇ 장애인 : 만점의 5% 가점(공통, 매 전형) ㅇ 한국조폐공사 사회형평적 체험형인턴 수료자 : 만점의 3% 가점(공통, 1·2차 전형) ㅇ 국민기초생활보장 수급자 : 만점의 3% 가점(공통, 1차 전형) ㅇ 의사상자 : 만점의 3% 가점(공통, 1차 전형) ㅇ 한부모가족 : 만점의 3% 가점(공통, 1차 전형) ㅇ 북한이탈주민 : 만점의 3% 가점(공통, 1차 전형) ㅇ 자립준비청년(보호종료아동) : 만점의 3% 가점(공통, 1차 전형) ㅇ 다문화가족 자녀 : 만점의 3% 가점(공통, 1차 전형) ㅇ 한국사능력검정 1급 자격소지자 : 만점의 1% 가점(공통, 1차 전형) ㅇ 전문자격증 보유자 : 만점의 5% 가점(전자기술, 화공, 디자인 제외 전 모집단위, 1·2차 전형) ㅇ 공인 제2외국어 성적보유자 : 만점의 1% 가점(행정사무, 행정사무(장애), 1차 전형) ㅇ 이전 지역인재 채용목표제(기계기술, ICT, 전자기술의 매 전형) ㅇ 비수도권 지역균형인재 채용목표제(전자기술 제외 전 모집단위의 매 전형) ㅇ 양성평등 채용목표제(기계기술, ICT, 전자기술의 3차 전형) ※ 상세내용은 첨부</t>
        </is>
      </c>
      <c r="T9" s="2" t="inlineStr"/>
      <c r="U9" s="6" t="inlineStr">
        <is>
          <t>https://www.komsco.com/kor/88/recruitment/205?pageIndex=1&amp;searchCondition=&amp;searchKeyword=</t>
        </is>
      </c>
      <c r="V9" s="2" t="inlineStr">
        <is>
          <t>https://job.alio.go.kr/recruitview.do?idx=305144</t>
        </is>
      </c>
      <c r="W9" s="2" t="inlineStr">
        <is>
          <t>공공데이터 오픈API(2026-09-20 수집)</t>
        </is>
      </c>
      <c r="X9" s="2" t="inlineStr">
        <is>
          <t>🔵 잡알리오 신규 — 시트 반영 검토 필요 / 학력요건: 학력무관,고졸,대졸(4년),석사 (고졸 지원 가능, 타 학력과 병행 선발) / 근무지: 서울,대전,충남,경북 / 응시자격: ㅇ공통 지원자격 - 성별, 연령 제한 없음. 단, 공사 정년(60세) 이상자는 지원 불가 - 공사 「인사관리 규정」 제10조의 채용 결격사유에 해당하지 않는 사람(붙임2) - 임용 즉시 업무종사가 가능하고 공사 사업장 소재지에서 근무가 가능한 사람 ※ 모집단위별 중복지원 불가 ㅇ일반분야 - 행정사무·행정기술·기계기술·IC</t>
        </is>
      </c>
      <c r="Y9" s="2" t="inlineStr">
        <is>
          <t>305144</t>
        </is>
      </c>
      <c r="Z9" s="2" t="inlineStr">
        <is>
          <t>2027년도 한국조폐공사 신입직원(채용형인턴) 채용공고</t>
        </is>
      </c>
    </row>
    <row r="10" ht="58" customHeight="1">
      <c r="A10" s="2" t="inlineStr"/>
      <c r="B10" s="2" t="inlineStr">
        <is>
          <t>확인필요</t>
        </is>
      </c>
      <c r="C10" s="2" t="inlineStr">
        <is>
          <t>한국식품산업클러스터진흥원</t>
        </is>
      </c>
      <c r="D10" s="2" t="inlineStr">
        <is>
          <t>정규직,무기계약직,비정규직</t>
        </is>
      </c>
      <c r="E10" s="2" t="inlineStr">
        <is>
          <t>기계;시설</t>
        </is>
      </c>
      <c r="F10" s="2" t="inlineStr">
        <is>
          <t>사업관리,경영.회계.사무,교육.자연.사회과학,운전.운송,건설,기계,화학,식품가공,환경.에너지.안전</t>
        </is>
      </c>
      <c r="G10" s="2" t="inlineStr">
        <is>
          <t>21</t>
        </is>
      </c>
      <c r="H10" s="2" t="inlineStr">
        <is>
          <t>확인필요</t>
        </is>
      </c>
      <c r="I10" s="2" t="inlineStr">
        <is>
          <t>미표기</t>
        </is>
      </c>
      <c r="J10" s="5" t="inlineStr"/>
      <c r="K10" s="5" t="n">
        <v>46283</v>
      </c>
      <c r="L10" s="5" t="n">
        <v>46297</v>
      </c>
      <c r="M10" s="2">
        <f>IF($L10="","미정",IF($L10&lt;TODAY(),"마감",IF($L10-TODAY()&lt;=7,"임박","진행중")))</f>
        <v/>
      </c>
      <c r="N10" s="5" t="inlineStr"/>
      <c r="O10" s="5" t="inlineStr"/>
      <c r="P10" s="5" t="inlineStr"/>
      <c r="Q10" s="2" t="inlineStr">
        <is>
          <t>1. 정규직: 서류전형(15배수)-필기전형(5배수)-면접전형(1배수) 2. 공무직: 서류전형(10배수)-필기전형(인성검사 적부)-면접전형(1배수) 3. 일반/사업계약직: 서류전형(5배수)-면접전형(1배수) * 각 전형별 세부사항은 채용공고문 참고</t>
        </is>
      </c>
      <c r="R10" s="2" t="inlineStr"/>
      <c r="S10"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10" s="2" t="inlineStr"/>
      <c r="U10" s="6" t="inlineStr">
        <is>
          <t>https://www.foodpolis.kr/web/Board/4424/detailView.do?pageIndex=1&amp;menu=2307</t>
        </is>
      </c>
      <c r="V10" s="2" t="inlineStr">
        <is>
          <t>https://job.alio.go.kr/recruitview.do?idx=305142</t>
        </is>
      </c>
      <c r="W10" s="2" t="inlineStr">
        <is>
          <t>공공데이터 오픈API(2026-09-20 수집)</t>
        </is>
      </c>
      <c r="X10" s="2" t="inlineStr">
        <is>
          <t>🔵 잡알리오 신규 — 시트 반영 검토 필요 / 학력요건: 학력무관,중졸이하,고졸,대졸(2~3년),대졸(4년),석사,박사 (고졸 지원 가능, 타 학력과 병행 선발) / 근무지: 전북 / 응시자격: 공통자격 및 제한경쟁자격을 충족한 자 [공통자격] 1. 성별, 나이 등의 제한 없음. 단, 진흥원 정년(만60세)에 해당하지 아니한 자 2. 인사규정 제10조(결격사유)의 임용 결격사유가 없는 자 ㉮「국가공무원법」제33조 각 호의 어느 하나에 해당하는 자 ㉯「병역법」제76조 제1항 각호의 어느 하나에 해당하는 자 ㉰「부패</t>
        </is>
      </c>
      <c r="Y10" s="2" t="inlineStr">
        <is>
          <t>305142</t>
        </is>
      </c>
      <c r="Z10" s="2" t="inlineStr">
        <is>
          <t>한국식품산업클러스터진흥원 2026년 제4차 직원(정규직, 계약직) 채용 공고</t>
        </is>
      </c>
    </row>
    <row r="11" ht="58" customHeight="1">
      <c r="A11" s="2" t="inlineStr"/>
      <c r="B11" s="2" t="inlineStr">
        <is>
          <t>확인필요</t>
        </is>
      </c>
      <c r="C11" s="2" t="inlineStr">
        <is>
          <t>한국소비자원</t>
        </is>
      </c>
      <c r="D11" s="2" t="inlineStr">
        <is>
          <t>정규직,무기계약직,청년인턴(채용형)</t>
        </is>
      </c>
      <c r="E11" s="2" t="inlineStr">
        <is>
          <t>기계;전기;전자;시설</t>
        </is>
      </c>
      <c r="F11" s="2" t="inlineStr">
        <is>
          <t>경영.회계.사무,법률.경찰.소방.교도.국방,보건.의료,기계,화학,전기.전자,환경.에너지.안전,연구</t>
        </is>
      </c>
      <c r="G11" s="2" t="inlineStr">
        <is>
          <t>30</t>
        </is>
      </c>
      <c r="H11" s="3" t="inlineStr">
        <is>
          <t>재학생</t>
        </is>
      </c>
      <c r="I11" s="2" t="inlineStr">
        <is>
          <t>미표기</t>
        </is>
      </c>
      <c r="J11" s="5" t="inlineStr"/>
      <c r="K11" s="5" t="n">
        <v>46280</v>
      </c>
      <c r="L11" s="5" t="n">
        <v>46295</v>
      </c>
      <c r="M11" s="2">
        <f>IF($L11="","미정",IF($L11&lt;TODAY(),"마감",IF($L11-TODAY()&lt;=7,"임박","진행중")))</f>
        <v/>
      </c>
      <c r="N11" s="5" t="inlineStr"/>
      <c r="O11" s="5" t="inlineStr"/>
      <c r="P11" s="5" t="inlineStr"/>
      <c r="Q11" s="2" t="inlineStr">
        <is>
          <t xml:space="preserve">- 1차(서류전형) : 종합평가점수 60점 이상 지원자 중 고득점자 순으로 채용예정인원의 50배수* 선발 * 일반직(일반) 50배수, 일반직(보훈, 장애인, 고졸, 이공계, 분쟁해결, 안전관리, 정보화) 및 시험연구직 30배수, 일반직(변호사), 연구직 및 공무직은 10배수 선발 ※ 일반직(일반, 보훈, 장애인, 고졸, 이공계), 시험연구직 : 교육사항, 자격사항, 경력(경험)사항, 자기소개서 평가(총 100점) ※ 일반직(분쟁해결, 안전관리, 정보화, 변호사) : 교육사항, 자격사항, 경력(경험)사항, 직무수행능력서, 자기소개서 평가(총 100점) ※ 연구직 : 교육사항, 경력(경험)사항, 연구실적, 연구계획서 평가(총 100점) ※ 공무직 : 자격사항, 경력(경험)사항, 자기소개서 평가(총 100점) - 2차(필기전형) : 종합평가점수 고득점 순으로 채용예정 인원의 5배수 선발 / 직업기초능력평가, 직무수행능력평가(총 100점) ※ 일반직(변호사), 연구직, 공무직 분야는 필기전형 제외 ※ 일반직(고졸, 분쟁해결, 안전관리, 정보화) 분야는 직무수행능력평가 제외 - 3차(면접전형) : 종합평가점수 80점 이상 지원자 중 고득점 순으로 채용 예정인원 선발 </t>
        </is>
      </c>
      <c r="R11" s="2" t="inlineStr"/>
      <c r="S11" s="2" t="inlineStr">
        <is>
          <t>- 국가유공자, 국가보훈대상자는 관련 법령에 따라 우대 - 장애인, 저소득층, 북한이탈주민, 다문화가족 및 지역인재(비수도권 및 이전지역 인재, 대학원을 제외한 최종학교 소재지 기준), 자립준비청년은 서류전형 시 가점 부여 - 한국사 자격증 1,2급 소지자, 산업안전기사 자격 소지자는 서류전형 시 가점 부여 - '25년 한국소비자원 우수 청년인턴으로 선발된 자는 서류전형 및 필기전형 시 가점 부여 - 각 채용 분야별 우대요건은 서류전형 시 가점 부여 취업지원대상자, 장애인, 이전지역인재, 비수도권 지역인재, 한국사시험자격소지자, 한국소비자원 우수 청년인턴, 산업안전기사 자격 소지자, 저소득층, 북한이탈주민, 다문화가족, 자립준비청년</t>
        </is>
      </c>
      <c r="T11" s="2" t="inlineStr"/>
      <c r="U11" s="6" t="inlineStr">
        <is>
          <t>https://www.kca.go.kr/kca/sub.do?menukey=5113&amp;mode=view&amp;no=1004559980</t>
        </is>
      </c>
      <c r="V11" s="2" t="inlineStr">
        <is>
          <t>https://job.alio.go.kr/recruitview.do?idx=304989</t>
        </is>
      </c>
      <c r="W11" s="2" t="inlineStr">
        <is>
          <t>공공데이터 오픈API(2026-09-16 수집)</t>
        </is>
      </c>
      <c r="X11" s="2" t="inlineStr">
        <is>
          <t>🔵 잡알리오 신규 — 시트 반영 검토 필요 / 학력요건: 학력무관,고졸,대졸(4년),박사 (고졸 지원 가능, 타 학력과 병행 선발) / 근무지: 서울,부산,대구,대전,경기,충북,전남광주,제주 / 응시자격: - 채용형 인턴(일반직_일반) : (학력 및 전공) 제한 없음 - 채용형 인턴(일반직_보훈) : (요건) 「국가유공자 등 예우 및 지원에 관한 법률」에 따른 취업지원대상자, (학력 및 전공) 제한 없음 - 채용형 인턴(일반직_장애인) : (요건) 「장애인고용촉진 및 직업재활법 시행령」 제3조에 의한 장애인 - 채용형 인턴</t>
        </is>
      </c>
      <c r="Y11" s="2" t="inlineStr">
        <is>
          <t>304989</t>
        </is>
      </c>
      <c r="Z11" s="2" t="inlineStr">
        <is>
          <t>2026년 한국소비자원 제2차 신입, 경력 및 공무직 채용 공고</t>
        </is>
      </c>
    </row>
    <row r="12" ht="58" customHeight="1">
      <c r="A12" s="2" t="inlineStr"/>
      <c r="B12" s="2" t="inlineStr">
        <is>
          <t>확인필요</t>
        </is>
      </c>
      <c r="C12" s="2" t="inlineStr">
        <is>
          <t>한국토지주택공사</t>
        </is>
      </c>
      <c r="D12" s="2" t="inlineStr">
        <is>
          <t>청년인턴(채용형)</t>
        </is>
      </c>
      <c r="E12" s="2" t="inlineStr">
        <is>
          <t>시설;기계;전기;전자</t>
        </is>
      </c>
      <c r="F12" s="2" t="inlineStr">
        <is>
          <t>사업관리,경영.회계.사무,법률.경찰.소방.교도.국방,사회복지.종교,문화.예술.디자인.방송,영업판매,건설,기계,화학,전기.전자,정보통신,환경.에너지.안전</t>
        </is>
      </c>
      <c r="G12" s="2" t="inlineStr">
        <is>
          <t>235</t>
        </is>
      </c>
      <c r="H12" s="2" t="inlineStr">
        <is>
          <t>공통</t>
        </is>
      </c>
      <c r="I12" s="2" t="inlineStr">
        <is>
          <t>미표기</t>
        </is>
      </c>
      <c r="J12" s="5" t="inlineStr"/>
      <c r="K12" s="5" t="n">
        <v>46280</v>
      </c>
      <c r="L12" s="5" t="n">
        <v>46294</v>
      </c>
      <c r="M12" s="2">
        <f>IF($L12="","미정",IF($L12&lt;TODAY(),"마감",IF($L12-TODAY()&lt;=7,"임박","진행중")))</f>
        <v/>
      </c>
      <c r="N12" s="5" t="inlineStr"/>
      <c r="O12" s="5" t="inlineStr"/>
      <c r="P12" s="5" t="inlineStr"/>
      <c r="Q12"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 2~4배수, (보훈·장애인) 4~8배수 ㅇ (대상) 서류전형 합격자 ㅇ 5급 - (일반·보훈) NCS 직업기초능력 20% + 직무역량 80%, 140분 보훈전형은 NCS 직업기초능력과 직무역량검사를 모두 응시하되, NCS 직업기초능력 100%로 합격자 선정함. 다만, 직무역량평가 결과(가산점 제외) 만점의 40% 미만 득점시 과</t>
        </is>
      </c>
      <c r="R12" s="2" t="inlineStr"/>
      <c r="S12" s="2" t="inlineStr">
        <is>
          <t xml:space="preserve">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t>
        </is>
      </c>
      <c r="T12" s="2" t="inlineStr"/>
      <c r="U12" s="6" t="inlineStr">
        <is>
          <t>https://www.lh.or.kr/board.es?mid=a10602060000&amp;bid=0053&amp;act=view&amp;list_no=734050&amp;tag=&amp;nPage=1</t>
        </is>
      </c>
      <c r="V12" s="2" t="inlineStr">
        <is>
          <t>https://job.alio.go.kr/recruitview.do?idx=304958</t>
        </is>
      </c>
      <c r="W12" s="2" t="inlineStr">
        <is>
          <t>공공데이터 오픈API(2026-09-16 수집)</t>
        </is>
      </c>
      <c r="X12" s="2" t="inlineStr">
        <is>
          <t>🔵 잡알리오 신규 — 시트 반영 검토 필요 / 학력요건: 학력무관,고졸 (고졸 지원 가능, 타 학력과 병행 선발) / 근무지: 서울,부산,대구,인천,대전,울산,세종,경기,강원,충북,충남,전북,전남광주,경북,경남,제주 / 응시자격: □ 5급 일반·보훈 ㅇ 자격증 - 사무직(일반행정, 전문-법률·회계) : 제한없음 - 사무직(전문-전산·국가유산), 기술직(전체) : 해당 모집직무 지원자격 자격증 보유자 ㅇ (보훈전형) 「국가유공자 등 예우 및 지원에 관한 법률」 등에 따른 취업지원대상자 □ 5급 장애인 ㅇ (기본자격) 「장애인고용촉진 및 직업재활법」에</t>
        </is>
      </c>
      <c r="Y12" s="2" t="inlineStr">
        <is>
          <t>304958</t>
        </is>
      </c>
      <c r="Z12" s="2" t="inlineStr">
        <is>
          <t>2026년 하반기 한국토지주택공사 신입사원(5·6급) 공채</t>
        </is>
      </c>
    </row>
    <row r="13" ht="58" customHeight="1">
      <c r="A13" s="2" t="inlineStr"/>
      <c r="B13" s="2" t="inlineStr">
        <is>
          <t>확인필요</t>
        </is>
      </c>
      <c r="C13" s="2" t="inlineStr">
        <is>
          <t>국토안전관리원</t>
        </is>
      </c>
      <c r="D13" s="2" t="inlineStr">
        <is>
          <t>정규직,청년인턴(채용형)</t>
        </is>
      </c>
      <c r="E13" s="2" t="inlineStr">
        <is>
          <t>기계;시설;전자</t>
        </is>
      </c>
      <c r="F13" s="2" t="inlineStr">
        <is>
          <t>사업관리,경영.회계.사무,교육.자연.사회과학,운전.운송,건설,정보통신</t>
        </is>
      </c>
      <c r="G13" s="2" t="inlineStr">
        <is>
          <t>18</t>
        </is>
      </c>
      <c r="H13" s="2" t="inlineStr">
        <is>
          <t>확인필요</t>
        </is>
      </c>
      <c r="I13" s="2" t="inlineStr">
        <is>
          <t>미표기</t>
        </is>
      </c>
      <c r="J13" s="5" t="inlineStr"/>
      <c r="K13" s="5" t="n">
        <v>46279</v>
      </c>
      <c r="L13" s="5" t="n">
        <v>46294</v>
      </c>
      <c r="M13" s="2">
        <f>IF($L13="","미정",IF($L13&lt;TODAY(),"마감",IF($L13-TODAY()&lt;=7,"임박","진행중")))</f>
        <v/>
      </c>
      <c r="N13" s="5" t="inlineStr"/>
      <c r="O13" s="5" t="inlineStr"/>
      <c r="P13" s="5" t="inlineStr"/>
      <c r="Q13" s="2" t="inlineStr">
        <is>
          <t>■ 경력직 1차. 서류전형: 지원자 전원 지원자격 적·부 판정, 비계량평가(5배수) 2차. 면접전형: 발표·상황면접(1배수) 3차. 결격사유조회 및 최종임용: 적격 여부, 자격 등 진위 여부(1배수) ■ 신입직 1차. 서류전형: 지원자 전원 지원자격 적·부 판정, 계량평가(30배수) 2차. 필기전형: 조직적합도검사, 직업기초능력평가, 직무수행능력평가(3배수 또는 4배수) 3차. 면접전형: KALIS FIT면접·직무역량 구술면접(1배수) 4차. 결격사유조회 및 최종임용: 적격 여부, 자격 등 진위 여부(1배수) ■ 고졸 1차. 서류전형: 지원자 전원 지원자격 적·부 판정, 비계량평가(5배수) 2차. 면접전형: 인성·직무면접(1배수) 3차. 결격사유조회 및 최종임용: 적격 여부, 자격 등 진위 여부(1배수) ※ 보다 자세한 사항은 첨부파일의 채용공고문을 참조</t>
        </is>
      </c>
      <c r="R13" s="2" t="inlineStr"/>
      <c r="S13" s="2" t="inlineStr">
        <is>
          <t>■ 법정가점 - 「국가유공자 등 예우 및 지원에 관한 법률」 등 관계법령에 따른 취업지원대상자: 각 과목 만점의 각 10% 또는 각 5% ■ 특별가점(최대 10%) - 「장애인고용촉진 및 직업재활법」 상의 중증장애인: 서류 5%, 필기 5% - 「장애인고용촉진 및 직업재활법」 상의 경증장애인: 서류 5%, 필기 3% - 「아동복지법」상 자립준비청년, 「국민기초생활보장법」상 기초생활수급자, 「한부모가족지원법」상 한부모가족 지원대상자, 「다문화가족지원법」에 따른 다문화가족, 「북한이탈주민의 보호 및 정착지원에 관한 법률」상 북한이탈주민 중의 어느 하나에 해당하는 경우: 서류 5%, 필기 2% - 국토안전원이 대국민을 대상으로 주최·주관한 공모전 또는 프로그램을 통해 원장상 이상의 표창을 수상한 자: 서류 3% - 국토안전원에 1년 이상 재직한 자: 서류 5%, 필기 2% - 국토안전원 체험형청년인턴 수료자: 서류 1%, 필기 0.5% - 국토안전원 체험형청년인턴 준우수수료자: 서류 2%, 필기 1% - 국토안전원 체험형청년인턴 우수수료자: 서류 3%, 필기 2% - 한국사능력검정시험 1급 자격증 소지자: 필기 2% - 한국사능력검정시험 2급 자격증 소지자: 필기</t>
        </is>
      </c>
      <c r="T13" s="2" t="inlineStr"/>
      <c r="U13" s="6" t="inlineStr">
        <is>
          <t>https://www.kalis.or.kr/www/brd/m_630/view.do?seq=321&amp;srchFr=&amp;srchTo=&amp;srchWord=&amp;srchTp=&amp;itm_seq_1=0&amp;itm_seq_2=0&amp;multi_itm_seq=0&amp;company_cd=&amp;company_nm=&amp;p_stat=&amp;p_itmseq1=&amp;diviTp=</t>
        </is>
      </c>
      <c r="V13" s="2" t="inlineStr">
        <is>
          <t>https://job.alio.go.kr/recruitview.do?idx=304933</t>
        </is>
      </c>
      <c r="W13" s="2" t="inlineStr">
        <is>
          <t>공공데이터 오픈API(2026-09-16 수집)</t>
        </is>
      </c>
      <c r="X13" s="2" t="inlineStr">
        <is>
          <t>🔵 잡알리오 신규 — 시트 반영 검토 필요 / 학력요건: 학력무관,고졸,석사,박사 (고졸 지원 가능, 타 학력과 병행 선발) / 근무지: 강원,충북,전남광주,경북,경남 / 응시자격: ■ 경력직 - 지원 직무별 요건 중 한 가지 이상을 충족하는 자 ※ 보다 자세한 사항은 첨부파일의 채용공고문을 참조 ■ 신입직(행정) - 입사일 기준 만 18세 이상 만 34세 이하 청년인 자 ■ 신입직(토목, 건축) ※ 아래 요건 모두를 충족하는 자 - 입사일 기준 만 18세 이상 만 34세 이하 청년인 자 - 해당분야</t>
        </is>
      </c>
      <c r="Y13" s="2" t="inlineStr">
        <is>
          <t>304933</t>
        </is>
      </c>
      <c r="Z13" s="2" t="inlineStr">
        <is>
          <t>2026년도 국토안전관리원 제2차 직무중심 채용 공고(일반직·전문직)</t>
        </is>
      </c>
    </row>
    <row r="14" ht="58" customHeight="1">
      <c r="A14" s="2" t="inlineStr"/>
      <c r="B14" s="2" t="inlineStr">
        <is>
          <t>확인필요</t>
        </is>
      </c>
      <c r="C14" s="2" t="inlineStr">
        <is>
          <t>국민건강보험공단</t>
        </is>
      </c>
      <c r="D14" s="2" t="inlineStr">
        <is>
          <t>정규직</t>
        </is>
      </c>
      <c r="E14" s="2" t="inlineStr">
        <is>
          <t>전자</t>
        </is>
      </c>
      <c r="F14" s="2" t="inlineStr">
        <is>
          <t>경영.회계.사무,보건.의료,사회복지.종교,이용.숙박.여행.오락.스포츠,정보통신</t>
        </is>
      </c>
      <c r="G14" s="2" t="inlineStr">
        <is>
          <t>374</t>
        </is>
      </c>
      <c r="H14" s="2" t="inlineStr">
        <is>
          <t>공통</t>
        </is>
      </c>
      <c r="I14" s="2" t="inlineStr">
        <is>
          <t>미표기</t>
        </is>
      </c>
      <c r="J14" s="5" t="inlineStr"/>
      <c r="K14" s="5" t="n">
        <v>46280</v>
      </c>
      <c r="L14" s="5" t="n">
        <v>46294</v>
      </c>
      <c r="M14" s="2">
        <f>IF($L14="","미정",IF($L14&lt;TODAY(),"마감",IF($L14-TODAY()&lt;=7,"임박","진행중")))</f>
        <v/>
      </c>
      <c r="N14" s="5" t="inlineStr"/>
      <c r="O14" s="5" t="inlineStr"/>
      <c r="P14" s="5" t="inlineStr"/>
      <c r="Q14" s="2" t="inlineStr">
        <is>
          <t>1. 공개경쟁 일반, 제한경쟁 일반 및 제한경쟁 강원인재 - 지원서 접수 - 1차(서류심사) 일반ㆍ강원인재 7배수, 자격요건 확인 및 직무능력중심 정량+정성평가 - 2차(필기시험) 2배수(단, 전산직 및 채용인원이 2명 이하인 모집단위는 3배수), NCS 기반 직업기초능력+직무시험(법률) - 3차(인성검사, 증빙서류 제출) 미실시자 면접응시 포기로 간주 - 4차(최종, 면접시험) 경험행동면접+상황면접+토론면접* * (전산직) 코딩테스트 + 과제면접으로 토론면접 대체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14" s="2" t="inlineStr"/>
      <c r="S14"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’26.9.14.기준 주민등록상 주소지가 지원하려는 모집권역으로 되어있는 사람(전산직, 강원인재(전국)에서는 가점부여 등 우대하지 않음) - ’23.1.1. 이후 우리 공단 근무경력 120일 이상이거나, ’23.1.1. 이후 일산병원, 서울요양원, 우리 공단 고객센터 중 한 기관의 근무경력 730일 이상인 사람 - ’23.1.1. 이후 우리 공단 청년인턴 근무경력 9</t>
        </is>
      </c>
      <c r="T14" s="2" t="inlineStr"/>
      <c r="U14" s="6" t="inlineStr">
        <is>
          <t>http://www.nhis.or.kr/nhis/together/wbhaea02700m01.do?mode=view&amp;articleNo=11013562&amp;article.offset=0&amp;articleLimit=10</t>
        </is>
      </c>
      <c r="V14" s="2" t="inlineStr">
        <is>
          <t>https://job.alio.go.kr/recruitview.do?idx=305006</t>
        </is>
      </c>
      <c r="W14" s="2" t="inlineStr">
        <is>
          <t>공공데이터 오픈API(2026-09-16 수집)</t>
        </is>
      </c>
      <c r="X14" s="2" t="inlineStr">
        <is>
          <t>🔵 잡알리오 신규 — 시트 반영 검토 필요 / 학력요건: 학력무관,고졸 (고졸 지원 가능, 타 학력과 병행 선발) / 근무지: 서울,부산,대구,인천,대전,울산,세종,경기,강원,충북,충남,전북,전남광주,경북,경남,제주 / 응시자격: 1. 공통 응시 자격요건 ○ 성별, 연령, 학력(행정직 6급나 제외)에 대한 제한이 없으나, 임용일(’26.12.28.) 기준 60세 이상(정년)인 사람은 지원할 수 없음 ○ 대한민국 국적을 소지한 자 ○ 6급가 지원자 중 남성은 병역 필 또는 면제자여야 함(다만, 임용일(’26.12.28.) 이전 전역예정자는 지원 가능</t>
        </is>
      </c>
      <c r="Y14" s="2" t="inlineStr">
        <is>
          <t>305006</t>
        </is>
      </c>
      <c r="Z14" s="2" t="inlineStr">
        <is>
          <t>2026년도 하반기 국민건강보험공단 신규직원 채용 공고</t>
        </is>
      </c>
    </row>
    <row r="15" ht="58" customHeight="1">
      <c r="A15" s="2" t="inlineStr"/>
      <c r="B15" s="2" t="inlineStr">
        <is>
          <t>확인필요</t>
        </is>
      </c>
      <c r="C15" s="2" t="inlineStr">
        <is>
          <t>한국남부발전(주)</t>
        </is>
      </c>
      <c r="D15" s="2" t="inlineStr">
        <is>
          <t>정규직</t>
        </is>
      </c>
      <c r="E15" s="2" t="inlineStr">
        <is>
          <t>시설;기계;전기;전자</t>
        </is>
      </c>
      <c r="F15" s="2" t="inlineStr">
        <is>
          <t>경영.회계.사무,음식서비스,건설,기계,화학,전기.전자,정보통신,환경.에너지.안전</t>
        </is>
      </c>
      <c r="G15" s="2" t="inlineStr">
        <is>
          <t>76</t>
        </is>
      </c>
      <c r="H15" s="2" t="inlineStr">
        <is>
          <t>공통</t>
        </is>
      </c>
      <c r="I15" s="2" t="inlineStr">
        <is>
          <t>미표기</t>
        </is>
      </c>
      <c r="J15" s="5" t="inlineStr"/>
      <c r="K15" s="5" t="n">
        <v>46276</v>
      </c>
      <c r="L15" s="5" t="n">
        <v>46293</v>
      </c>
      <c r="M15" s="2">
        <f>IF($L15="","미정",IF($L15&lt;TODAY(),"마감",IF($L15-TODAY()&lt;=7,"임박","진행중")))</f>
        <v/>
      </c>
      <c r="N15" s="5" t="inlineStr"/>
      <c r="O15" s="5" t="inlineStr"/>
      <c r="P15" s="5" t="inlineStr"/>
      <c r="Q15" s="2" t="inlineStr">
        <is>
          <t>□ 신입사원-대졸수준 ○ 1단계(서류전형) : 외국어성적(50점), 자격증 가점(최대 50점)을 합산하여 고득점순 선발/ 30배수 선발 - 단, 장애/보훈 전형의 경우 서류전형 면제 ○ 2단계(필기전형) : NCS기반 선발평가 시행(직무적합평가,직무능력평가, 전공기초) / 3배수 선발 ○ 3단계(면접전형) : PT, GD, 실무역량, 인성 및 조직적합성 평가 / 2배수 선발 ○ 4단계(합격예정자 결정) : 2,3단계 전형 성적을 합산하여 고득점순 선발 / 1배수 선발 ○ 5단계(적부판정 및 최종합격) : 신체검사, 비위면직자 및 신원조사, 제출서류 진위여부 확인 후 최종합격 처리 ※ 동점자 처리기준 ○ 서류전형 : 동점자 전원 합격 ○ 필기전형 : 동점자 전원 합격 ○ 면접전형 : 보훈&gt;장애&gt;직무능력평가&gt;인성평가 등급 &gt; 전공기초 고득점 ○ 전형별 합격자 결정과 관련하여 동점자 처리를 위한 점수 산정시 응시자의 원점수에 가점을 합산한 점수를 적용 □ 신입사원-고졸수준 ○ 1단계(서류전형) : 자격증 가점(최대 20점) 고득점순 선발/ 30배수 선발 ○ 2단계(필기전형) : NCS기반 선발평가 시행(직무적합평가,직무능력평가, 전공기초) / 3배수 선발 ○ 3단</t>
        </is>
      </c>
      <c r="R15" s="2" t="inlineStr"/>
      <c r="S15" s="2" t="inlineStr">
        <is>
          <t xml:space="preserve">1. 채용목표제 ○ 대졸수준(일반) 기계,전기 직군은 ‘이공계인재 양성평등 채용목표제’ 적용대상 ○ 대졸수준(일반) 사무, 기계, 전기, 화학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북한이탈주민, 다문화가족, 자립준비청년 : 서류 및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별정직 ○ 등록장애인 : 서류면제, 필기 및 면접 배점의 10% 가산점 부여 ○ 취업지원대상자 : 서류면제, 필기 및 면접은 법률상 </t>
        </is>
      </c>
      <c r="T15" s="2" t="inlineStr"/>
      <c r="U15" s="6" t="inlineStr">
        <is>
          <t>https://kospo.machuda.kr</t>
        </is>
      </c>
      <c r="V15" s="2" t="inlineStr">
        <is>
          <t>https://job.alio.go.kr/recruitview.do?idx=304839</t>
        </is>
      </c>
      <c r="W15" s="2" t="inlineStr">
        <is>
          <t>공공데이터 오픈API(2026-09-11 수집)</t>
        </is>
      </c>
      <c r="X15" s="2" t="inlineStr">
        <is>
          <t xml:space="preserve">🔵 잡알리오 신규 — 시트 반영 검토 필요 / 학력요건: 학력무관,고졸 (고졸 지원 가능, 타 학력과 병행 선발) / 근무지: 부산,인천,세종,강원,경북,경남,제주 / 응시자격: □ 신입사원(대졸수준-일반) ○ 연령, 학력, 자격, 어학 : 제한없음 - 단, 연령의 경우 회사 정년(만 60세) 미만인 자 ○ 병역 : 병역법 제76조에서 정한 병역의무 불이행자에 해당하지 않는 자(현역의 경우 최종합격자 발표일 이전에 전역 가능한 자) ○ 당사 인사관리규정 제10조의 결격사유에 해당하지 않는 자 ○ </t>
        </is>
      </c>
      <c r="Y15" s="2" t="inlineStr">
        <is>
          <t>304839</t>
        </is>
      </c>
      <c r="Z15" s="2" t="inlineStr">
        <is>
          <t>한국남부발전(주) 2026년 하반기 신입사원 및 별정직 채용공고</t>
        </is>
      </c>
    </row>
    <row r="16" ht="58" customHeight="1">
      <c r="A16" s="2" t="inlineStr"/>
      <c r="B16" s="2" t="inlineStr">
        <is>
          <t>확인필요</t>
        </is>
      </c>
      <c r="C16" s="2" t="inlineStr">
        <is>
          <t>한국가스안전공사</t>
        </is>
      </c>
      <c r="D16" s="2" t="inlineStr">
        <is>
          <t>정규직,청년인턴(채용형)</t>
        </is>
      </c>
      <c r="E16" s="2" t="inlineStr">
        <is>
          <t>기계;용접;전기;전자;시설</t>
        </is>
      </c>
      <c r="F16" s="2" t="inlineStr">
        <is>
          <t>사업관리,경영.회계.사무,법률.경찰.소방.교도.국방,기계,재료,화학,전기.전자,환경.에너지.안전,연구</t>
        </is>
      </c>
      <c r="G16" s="2" t="inlineStr">
        <is>
          <t>80</t>
        </is>
      </c>
      <c r="H16" s="2" t="inlineStr">
        <is>
          <t>확인필요</t>
        </is>
      </c>
      <c r="I16" s="2" t="inlineStr">
        <is>
          <t>미표기</t>
        </is>
      </c>
      <c r="J16" s="5" t="inlineStr"/>
      <c r="K16" s="5" t="n">
        <v>46274</v>
      </c>
      <c r="L16" s="5" t="n">
        <v>46293</v>
      </c>
      <c r="M16" s="2">
        <f>IF($L16="","미정",IF($L16&lt;TODAY(),"마감",IF($L16-TODAY()&lt;=7,"임박","진행중")))</f>
        <v/>
      </c>
      <c r="N16" s="5" t="inlineStr"/>
      <c r="O16" s="5" t="inlineStr"/>
      <c r="P16" s="5" t="inlineStr"/>
      <c r="Q16" s="2" t="inlineStr">
        <is>
          <t>ㅇ 공고 및 원서접수 - 공고: 9.9.(수) ~ 9.28.(월) - 원서접수: 9.15.(화) 14:00 ~ 9.28.(월) 오전 10:00 ㅇ 전형절차 - 1차전형(서류평가) → 2차전형(필기시험) → 3차전형(종합면접) → 합격자 발표 ㅇ 1차전형(서류평가) - 5급_행정직, 기술직: 자격 50점 + 어학 50점 - 5급_연구직: 자격 20점 + 어학 30점 + 자기소개서 20점 + 연구수행 계획서 30점 - 7급_사무원, 기술원: 자격 100점 ㅇ 2차전형(필기시험) - 5급_행정직, 기술직: 직업기초능력평가(60%), 직무수행능력평가(전공_객관식)(40%), 인성검사 - 5급_연구직, 직업기초능력평가(60%), 직무수행능력평가(논술형)(40%), 인성검사 - 7급_사무원, 기술원: 직업기초능력평가(60%), 직무수행능력평가(전공_객관식)(40%), 인성검사 * 인성검사 적/부 판정 폐지, 면접전형 참고자료로 활용 예정 ㅇ 자기소개서 및 증빙서류 제출 - 5급_행정직, 기술직: 3차전형 대상자에 한하여, 자기소개서 및 증빙서류 제출 - 5급_연구직: 3차전형 대상자에 한하여, 증빙서류만 제출 - 7급_사무원, 기술원: 3차전형 대상자에 한하여, 자기소</t>
        </is>
      </c>
      <c r="R16" s="2" t="inlineStr"/>
      <c r="S16" s="2" t="inlineStr">
        <is>
          <t>ㅇ 전형단계별 우대사항 참고 *세부내용은 공고문 및 첨부파일 참조 전형단계별 우대사항 참고 (취업지원대상자, 장애, 저소득층, 한부모가정, 북한이탈주민, 다문화가족, 자립준비청년, 의사자 유족 및 의상자, 의상자 가족, 청년인재, 비수도권인재, 지역인재)</t>
        </is>
      </c>
      <c r="T16" s="2" t="inlineStr"/>
      <c r="U16" s="6" t="inlineStr">
        <is>
          <t>https://kgs.saramin.co.kr/</t>
        </is>
      </c>
      <c r="V16" s="2" t="inlineStr">
        <is>
          <t>https://job.alio.go.kr/recruitview.do?idx=304810</t>
        </is>
      </c>
      <c r="W16" s="2" t="inlineStr">
        <is>
          <t>공공데이터 오픈API(2026-09-09 수집)</t>
        </is>
      </c>
      <c r="X16" s="2" t="inlineStr">
        <is>
          <t>🔵 잡알리오 신규 — 시트 반영 검토 필요 / 학력요건: 학력무관,고졸,석사 (고졸 지원 가능, 타 학력과 병행 선발) / 근무지: 서울,부산,대구,인천,대전,울산,세종,경기,강원,충북,충남,전북,전남광주,경북,제주 / 응시자격: 응시자격 ㅇ 공통 응모자격과 지원직무의 응모자격을 모두 충족하여야 함 [공통 응모자격] - 입사예정일 기준 만 58세 미만인 자(임금피크제 적용 전) - 공사 인사규정 제20조의 결격사유에 해당하지 않는 자 - 병역 대상자로서 병역기피 사실이 없는 자 - 현역 군인의 경우 입사 예정일 이전에 전역이 가능한 자 - 입사 예</t>
        </is>
      </c>
      <c r="Y16" s="2" t="inlineStr">
        <is>
          <t>304810</t>
        </is>
      </c>
      <c r="Z16" s="2" t="inlineStr">
        <is>
          <t>2026년 하반기 한국가스안전공사 정규직(채용형인턴) 채용 공고</t>
        </is>
      </c>
    </row>
    <row r="17" ht="58" customHeight="1">
      <c r="A17" s="2" t="inlineStr"/>
      <c r="B17" s="2" t="inlineStr">
        <is>
          <t>확인필요</t>
        </is>
      </c>
      <c r="C17" s="2" t="inlineStr">
        <is>
          <t>국가생명윤리정책원</t>
        </is>
      </c>
      <c r="D17" s="2" t="inlineStr">
        <is>
          <t>정규직,비정규직</t>
        </is>
      </c>
      <c r="E17" s="2" t="inlineStr">
        <is>
          <t>전자</t>
        </is>
      </c>
      <c r="F17" s="2" t="inlineStr">
        <is>
          <t>사업관리,경영.회계.사무,교육.자연.사회과학,보건.의료,정보통신,연구</t>
        </is>
      </c>
      <c r="G17" s="2" t="inlineStr">
        <is>
          <t>8</t>
        </is>
      </c>
      <c r="H17" s="2" t="inlineStr">
        <is>
          <t>확인필요</t>
        </is>
      </c>
      <c r="I17" s="2" t="inlineStr">
        <is>
          <t>미표기</t>
        </is>
      </c>
      <c r="J17" s="5" t="inlineStr"/>
      <c r="K17" s="5" t="n">
        <v>46274</v>
      </c>
      <c r="L17" s="5" t="n">
        <v>46288</v>
      </c>
      <c r="M17" s="2">
        <f>IF($L17="","미정",IF($L17&lt;TODAY(),"마감",IF($L17-TODAY()&lt;=7,"임박","진행중")))</f>
        <v/>
      </c>
      <c r="N17" s="5" t="inlineStr"/>
      <c r="O17" s="5" t="inlineStr"/>
      <c r="P17" s="5" t="inlineStr"/>
      <c r="Q17" s="2" t="inlineStr">
        <is>
          <t>ㅇ 전형절차: 서류전형+면접전형 - 서류전형 · 채용예정인원이 3명 이하일 경우: 100점 만점 기준 80점 이상자를 대상으로 채용예정인원의 5배수 이내를 선발 · 채용예정인원이 4명 이상일 경우: 100점 만점 기준 80점 이상자를 대상으로 채용예정인원의 3배수 이내를 선발 - 면접전형: 전형결과 80점 이상자를 대상으로 최고득점자를 선발</t>
        </is>
      </c>
      <c r="R17" s="2" t="inlineStr"/>
      <c r="S17" s="2" t="inlineStr">
        <is>
          <t>ㅇ 취업지원대상자: 서류전형, 면접전형 별 관련 법령에 따름 ㅇ 장애인 및 취업보호대상자: 서류전형시 가산점 5% ㅇ 저소득층: 서류전형시 가산점 3% ㅇ 한부모가족: 서류전형시 가산점 3% ㅇ 북한이탈주민: 서류전형시 가산점 3% ㅇ 다문화가족: 서류전형시 가산점 3% ㅇ 자립지원청년: 서류전형시 가산점 3% ㅇ 체험형 청년인턴 수료자 및 우수인턴 선발자: 서류전형시 청년인턴 수료자 가산점 3%, 우수인턴 선발자 5% ㅇ 지원분야별 우대사항: 공고문 참조 취업지원대상자, 장애인 및 취업보호대상자, 저소득층, 한부모가족, 북한이탈주민, 다문화가족, 자립지원청년, 체험형 청년인턴 수료자 및 우수인턴 선발자</t>
        </is>
      </c>
      <c r="T17" s="2" t="inlineStr"/>
      <c r="U17" s="6" t="inlineStr">
        <is>
          <t>https://recruit.incruit.com/nibp/</t>
        </is>
      </c>
      <c r="V17" s="2" t="inlineStr">
        <is>
          <t>https://job.alio.go.kr/recruitview.do?idx=304793</t>
        </is>
      </c>
      <c r="W17" s="2" t="inlineStr">
        <is>
          <t>공공데이터 오픈API(2026-09-09 수집)</t>
        </is>
      </c>
      <c r="X17" s="2" t="inlineStr">
        <is>
          <t>🔵 잡알리오 신규 — 시트 반영 검토 필요 / 학력요건: 학력무관,중졸이하,고졸,대졸(2~3년),대졸(4년),석사,박사 (고졸 지원 가능, 타 학력과 병행 선발) / 근무지: 서울 / 응시자격: ㅇ 연구직(정규직) 5급(A07) - 생명윤리 관련분야 석사학위 소지자 또는 학사학위 취득 전·후 2년 이상 업무 경력자 ※ 생명윤리 관련분야 : 생명윤리, 법학, 의학, 간호학, 약학, 윤리학, 생명과학/생명공학, 사회복지학 및 유사 분야, 유전자 검사 분야 ㅇ 행정직(정규직) 5급(A08) - 채용 예정 직무 경력 1</t>
        </is>
      </c>
      <c r="Y17" s="2" t="inlineStr">
        <is>
          <t>304793</t>
        </is>
      </c>
      <c r="Z17" s="2" t="inlineStr">
        <is>
          <t xml:space="preserve">제2026-3차 직원 채용 공고 </t>
        </is>
      </c>
    </row>
    <row r="18" ht="58" customHeight="1">
      <c r="A18" s="2" t="inlineStr"/>
      <c r="B18" s="2" t="inlineStr">
        <is>
          <t>확인필요</t>
        </is>
      </c>
      <c r="C18" s="2" t="inlineStr">
        <is>
          <t>한국전력기술주식회사</t>
        </is>
      </c>
      <c r="D18" s="2" t="inlineStr">
        <is>
          <t>정규직</t>
        </is>
      </c>
      <c r="E18" s="2" t="inlineStr">
        <is>
          <t>시설;기계;전기;전자</t>
        </is>
      </c>
      <c r="F18" s="2" t="inlineStr">
        <is>
          <t>사업관리,경영.회계.사무,문화.예술.디자인.방송,건설,기계,전기.전자,정보통신,환경.에너지.안전</t>
        </is>
      </c>
      <c r="G18" s="2" t="inlineStr">
        <is>
          <t>109</t>
        </is>
      </c>
      <c r="H18" s="2" t="inlineStr">
        <is>
          <t>확인필요</t>
        </is>
      </c>
      <c r="I18" s="2" t="inlineStr">
        <is>
          <t>미표기</t>
        </is>
      </c>
      <c r="J18" s="5" t="inlineStr"/>
      <c r="K18" s="5" t="n">
        <v>46272</v>
      </c>
      <c r="L18" s="5" t="n">
        <v>46287</v>
      </c>
      <c r="M18" s="2">
        <f>IF($L18="","미정",IF($L18&lt;TODAY(),"마감",IF($L18-TODAY()&lt;=7,"임박","진행중")))</f>
        <v/>
      </c>
      <c r="N18" s="5" t="inlineStr"/>
      <c r="O18" s="5" t="inlineStr"/>
      <c r="P18" s="5" t="inlineStr"/>
      <c r="Q18" s="2" t="inlineStr">
        <is>
          <t xml:space="preserve">1. 전형절차 : 서류전형 → 필기전형 → 면접전형 → 최종합격 2. 전형별 합격 예정인원 - 채용인원 5명 이하 분야 : (서류) 30배수 / (필기) 5배수 / (최종) 1배수 - 채용인원 5명 초과 분야 : (서류) 30배수 / (필기) 3배수 / (최종) 1배수 * 보훈, 장애인 채용의 경우 응시자격 충족자 전원 서류전형 합격 </t>
        </is>
      </c>
      <c r="R18" s="2" t="inlineStr"/>
      <c r="S18" s="2" t="inlineStr">
        <is>
          <t>1. 사회형평 인재(취업지원대상자, 장애인, 기초생활수급자, 자립준비청년(보호종료아동), 북한이탈주민, 다문화가족) 2. 당사 체험형 인턴 수료자 중 우수인턴 선정자 * 채용분야별 우대 대상 및 우대사항 관련 상세 내용 : 채용공고 참조 사회형평 인재, 당사 체험형 인턴 수료자 중 우수인턴 선정자 등</t>
        </is>
      </c>
      <c r="T18" s="2" t="inlineStr"/>
      <c r="U18" s="6" t="inlineStr">
        <is>
          <t>https://kepco-enc.cairos.co.kr/kepco-enc/</t>
        </is>
      </c>
      <c r="V18" s="2" t="inlineStr">
        <is>
          <t>https://job.alio.go.kr/recruitview.do?idx=304717</t>
        </is>
      </c>
      <c r="W18" s="2" t="inlineStr">
        <is>
          <t>공공데이터 오픈API(2026-09-09 수집)</t>
        </is>
      </c>
      <c r="X18" s="2" t="inlineStr">
        <is>
          <t>🔵 잡알리오 신규 — 시트 반영 검토 필요 / 학력요건: 학력무관,고졸 (고졸 지원 가능, 타 학력과 병행 선발) / 근무지: 경북 / 응시자격: 1. 공통 응시자격 - 채용 전 과정 블라인드 방식 적용 - 입사 예정일에 근무가 가능한 자로, 회사 정년(만60세)에 도달하지 아니한 자 - 회사 인사규정 제8조 결격사유에 해당하지 않는 자(첨부 공고문 참조) - 현재 군 복무 중인 경우, 면접전형 시작일 이전 전역이 가능한 자 2. 채용분야별 응시자격 : 채용공고 참</t>
        </is>
      </c>
      <c r="Y18" s="2" t="inlineStr">
        <is>
          <t>304717</t>
        </is>
      </c>
      <c r="Z18" s="2" t="inlineStr">
        <is>
          <t>2026년도 하반기 정규직(신입사원) 채용공고</t>
        </is>
      </c>
    </row>
    <row r="19" ht="58" customHeight="1">
      <c r="A19" s="2" t="inlineStr"/>
      <c r="B19" s="2" t="inlineStr">
        <is>
          <t>확인필요</t>
        </is>
      </c>
      <c r="C19" s="2" t="inlineStr">
        <is>
          <t>한국도로공사</t>
        </is>
      </c>
      <c r="D19" s="2" t="inlineStr">
        <is>
          <t>청년인턴(채용형)</t>
        </is>
      </c>
      <c r="E19" s="2" t="inlineStr">
        <is>
          <t>시설;기계;전기;전자</t>
        </is>
      </c>
      <c r="F19" s="2" t="inlineStr">
        <is>
          <t>경영.회계.사무,건설,기계,전기.전자,정보통신</t>
        </is>
      </c>
      <c r="G19" s="2" t="inlineStr">
        <is>
          <t>100</t>
        </is>
      </c>
      <c r="H19" s="3" t="inlineStr">
        <is>
          <t>재학생</t>
        </is>
      </c>
      <c r="I19" s="2" t="inlineStr">
        <is>
          <t>미표기</t>
        </is>
      </c>
      <c r="J19" s="5" t="inlineStr"/>
      <c r="K19" s="5" t="n">
        <v>46273</v>
      </c>
      <c r="L19" s="5" t="n">
        <v>46287</v>
      </c>
      <c r="M19" s="2">
        <f>IF($L19="","미정",IF($L19&lt;TODAY(),"마감",IF($L19-TODAY()&lt;=7,"임박","진행중")))</f>
        <v/>
      </c>
      <c r="N19" s="5" t="inlineStr"/>
      <c r="O19" s="5" t="inlineStr"/>
      <c r="P19" s="5" t="inlineStr"/>
      <c r="Q19" s="2" t="inlineStr">
        <is>
          <t>○ 5급 공개채용 o 서류전형 : 적/부 - 합격배수 : 지원자격 충족 시 선발 o 필기전형 : 직업기초능력평가(30), 직무수행능력평가(70), 부가가점(해당 시) - 합격배수 : 최종선발예정인원 10명이상(1.5배수), 4명이상~9명이하(2.5배수), 2~3명(3배수), 1명(4배수) ※ 동점자 전원 선발, 선발인원 산정 시 소수점 첫째 자리에서 올림 o 면접전형(PT 및 역량 면접) : 필기(50), 면접(50), 법정가점(해당 시) - 합격배수 : 분야별 1배수 ※ 필기전형 점수의 경우, 부가점수 제외한 후 합산 ○ 8급 공개채용 o 서류전형 : 적/부 - 합격배수 : 지원자격 충족 시 선발 o 필기전형 : 직업기초능력평가(100), 부가가점(해당 시) - 합격배수 : 자립준비청년 전형(3배수), 그 외 전형(4배수) ※ 동점자 전원 선발, 선발인원 산정 시 소수점 첫째 자리에서 올림 o 면접전형(PT 및 역량 면접) : 필기(50), 면접(50), 법정가점(해당 시) - 합격배수 : 분야별 1배수 ※ 필기전형 점수의 경우, 부가점수 제외한 후 합산</t>
        </is>
      </c>
      <c r="R19" s="2" t="inlineStr"/>
      <c r="S19"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19" s="2" t="inlineStr"/>
      <c r="U19" s="6" t="inlineStr">
        <is>
          <t>https://www.ex.co.kr</t>
        </is>
      </c>
      <c r="V19" s="2" t="inlineStr">
        <is>
          <t>https://job.alio.go.kr/recruitview.do?idx=304761</t>
        </is>
      </c>
      <c r="W19" s="2" t="inlineStr">
        <is>
          <t>공공데이터 오픈API(2026-09-09 수집)</t>
        </is>
      </c>
      <c r="X19" s="2" t="inlineStr">
        <is>
          <t>🔵 잡알리오 신규 — 시트 반영 검토 필요 / 학력요건: 학력무관,고졸 (고졸 지원 가능, 타 학력과 병행 선발) / 근무지: 대구,인천,대전,울산,경기,강원,충북,충남,전북,전남광주,경북,경남 / 응시자격: ○ 5급 공채 [공통] o 공사 인사규정 제8조의 결격사유가 없는 자 o 학력, 성별, 연령 제한 없음 (단, 공사 정년에 도달하는 자 제외) o 인턴계약일(2026년 11월 중 예정)로부터 근무 가능자(사업장 전국 소재) o 병역사항 : 남자의 경우 병역필 또는 면제자(병역특례 근무 중인 자 제외) ※ 인턴계약일(202</t>
        </is>
      </c>
      <c r="Y19" s="2" t="inlineStr">
        <is>
          <t>304761</t>
        </is>
      </c>
      <c r="Z19" s="2" t="inlineStr">
        <is>
          <t>2026년 하반기 한국도로공사 일반직 신입(인턴)사원 채용 공고</t>
        </is>
      </c>
    </row>
    <row r="20" ht="58" customHeight="1">
      <c r="A20" s="2" t="inlineStr"/>
      <c r="B20" s="2" t="inlineStr">
        <is>
          <t>확인필요</t>
        </is>
      </c>
      <c r="C20" s="2" t="inlineStr">
        <is>
          <t>한국수목원정원관리원</t>
        </is>
      </c>
      <c r="D20" s="2" t="inlineStr">
        <is>
          <t>정규직,무기계약직</t>
        </is>
      </c>
      <c r="E20" s="2" t="inlineStr">
        <is>
          <t>전기;전자;시설</t>
        </is>
      </c>
      <c r="F20" s="2" t="inlineStr">
        <is>
          <t>사업관리,경영.회계.사무,교육.자연.사회과학,문화.예술.디자인.방송,이용.숙박.여행.오락.스포츠,전기.전자,정보통신,환경.에너지.안전,농림어업</t>
        </is>
      </c>
      <c r="G20" s="2" t="inlineStr">
        <is>
          <t>27</t>
        </is>
      </c>
      <c r="H20" s="2" t="inlineStr">
        <is>
          <t>확인필요</t>
        </is>
      </c>
      <c r="I20" s="4" t="inlineStr">
        <is>
          <t>필요</t>
        </is>
      </c>
      <c r="J20" s="5" t="inlineStr"/>
      <c r="K20" s="5" t="n">
        <v>46272</v>
      </c>
      <c r="L20" s="5" t="n">
        <v>46286</v>
      </c>
      <c r="M20" s="2">
        <f>IF($L20="","미정",IF($L20&lt;TODAY(),"마감",IF($L20-TODAY()&lt;=7,"임박","진행중")))</f>
        <v/>
      </c>
      <c r="N20" s="5" t="inlineStr"/>
      <c r="O20" s="5" t="inlineStr"/>
      <c r="P20" s="5" t="inlineStr"/>
      <c r="Q20" s="2" t="inlineStr">
        <is>
          <t>(일반직 4급) - 1차(서류) 전형 : 5배수, 경력사항, 자격증, 직무수행계획서 및 자기소개서 - 2차(면접) 전형 : AI면접, 직무발표, 구조화 면접 (일반직, 전시직 5급가·나) - 1차(서류) 전형 : 15배수, 자격증, 영어시험(일반행정만 해당), 직무수행계획서 및 자기소개서 - 2차(필기) 전형 : 5배수, 직무상식시험, 직업기초능력검사, 인성검사 - 3차(면접) 전형 : AI면접, 토론면접, 구조화 면접 (전문직 5급가) - 1차(서류) 전형 : 10배수, 논문(연구실적), 직무수행계획서 및 자기소개서 - 2차(필기) 전형 : 5배수, 직업기초능력검사, 인성검사 - 3차(면접) 전형 : AI면접, 논문실적 발표, 구조화 면접 (공무직) - 1차(서류)전형 : 5배수, 자격증, 직무수행계획서 및 자기소개서 - 2차(면접)전형 : 구조화 면접 ※ 보다 자세한 사항은 첨부된 채용공고문 참조</t>
        </is>
      </c>
      <c r="R20" s="2" t="inlineStr"/>
      <c r="S20"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등), 한국사능력검정시험 3급 이상 취득자 등(* 보다 자세한 사항은 첨부파일의 채용공고문 참조)</t>
        </is>
      </c>
      <c r="T20" s="2" t="inlineStr"/>
      <c r="U20" s="6" t="inlineStr">
        <is>
          <t>https://www.koagi.or.kr/www/user/bbs/BD_selectBbsList.do?q_bbsSn=1009</t>
        </is>
      </c>
      <c r="V20" s="2" t="inlineStr">
        <is>
          <t>https://job.alio.go.kr/recruitview.do?idx=304713</t>
        </is>
      </c>
      <c r="W20" s="2" t="inlineStr">
        <is>
          <t>공공데이터 오픈API(2026-09-09 수집)</t>
        </is>
      </c>
      <c r="X20" s="2" t="inlineStr">
        <is>
          <t>🔵 잡알리오 신규 — 시트 반영 검토 필요 / ⚠️ 학교장 추천: - 5급나 : 공고시작일 기준 최종 학력이 고등학교 졸업(예정)자 중에서 대학에 진학한 적이 없고 학교장 추천을 받은 자 / 학력요건: 학력무관,고졸,석사 (고졸 지원 가능, 타 학력과 병행 선발) / 근무지: 세종,강원,전남광주,경북 / 응시자격: (일반직) - 4급 : 1. 정부, 공공기관, 사기업 등에서 채용예정 직무 관련 3년 이상 경력이 있는 자 2. 채용직무별 필수자격 사항을 충족하는 자 (일반직, 전시직) - 5급가 : 채용예정 직무를 수행할 수 있다고 인정되는 자(채용직무별 필수자격 및 우대사항 참조) - 5급나 : 공고시작일 기준 최종 학력이 고등학교</t>
        </is>
      </c>
      <c r="Y20" s="2" t="inlineStr">
        <is>
          <t>304713</t>
        </is>
      </c>
      <c r="Z20" s="2" t="inlineStr">
        <is>
          <t>한국수목원정원관리원 2026년 제3차 신규직원 채용 공고</t>
        </is>
      </c>
    </row>
    <row r="21" ht="58" customHeight="1">
      <c r="A21" s="2" t="inlineStr"/>
      <c r="B21" s="2" t="inlineStr">
        <is>
          <t>확인필요</t>
        </is>
      </c>
      <c r="C21" s="2" t="inlineStr">
        <is>
          <t>한국산림복지진흥원</t>
        </is>
      </c>
      <c r="D21" s="2" t="inlineStr">
        <is>
          <t>정규직</t>
        </is>
      </c>
      <c r="E21" s="2" t="inlineStr">
        <is>
          <t>전기;전자;시설</t>
        </is>
      </c>
      <c r="F21" s="2" t="inlineStr">
        <is>
          <t>사업관리,경영.회계.사무,보건.의료,이용.숙박.여행.오락.스포츠,전기.전자,환경.에너지.안전,농림어업</t>
        </is>
      </c>
      <c r="G21" s="2" t="inlineStr">
        <is>
          <t>27</t>
        </is>
      </c>
      <c r="H21" s="2" t="inlineStr">
        <is>
          <t>졸업생</t>
        </is>
      </c>
      <c r="I21" s="2" t="inlineStr">
        <is>
          <t>미표기</t>
        </is>
      </c>
      <c r="J21" s="5" t="inlineStr"/>
      <c r="K21" s="5" t="n">
        <v>46268</v>
      </c>
      <c r="L21" s="5" t="n">
        <v>46286</v>
      </c>
      <c r="M21" s="2">
        <f>IF($L21="","미정",IF($L21&lt;TODAY(),"마감",IF($L21-TODAY()&lt;=7,"임박","진행중")))</f>
        <v/>
      </c>
      <c r="N21" s="5" t="inlineStr"/>
      <c r="O21" s="5" t="inlineStr"/>
      <c r="P21" s="5" t="inlineStr"/>
      <c r="Q21"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21" s="2" t="inlineStr"/>
      <c r="S21"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21" s="2" t="inlineStr"/>
      <c r="U21" s="6" t="inlineStr">
        <is>
          <t>https://fowi.or.kr/user/bbs/bbsView.do?bbsManageId=22&amp;bbsId=9165</t>
        </is>
      </c>
      <c r="V21" s="2" t="inlineStr">
        <is>
          <t>https://job.alio.go.kr/recruitview.do?idx=304612</t>
        </is>
      </c>
      <c r="W21" s="2" t="inlineStr">
        <is>
          <t>공공데이터 오픈API(2026-09-07 수집)</t>
        </is>
      </c>
      <c r="X21"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21" s="2" t="inlineStr">
        <is>
          <t>304612</t>
        </is>
      </c>
      <c r="Z21" s="2" t="inlineStr">
        <is>
          <t>2026년도 하반기 한국산림복지진흥원 정규직(5급, 6급) 채용 공고</t>
        </is>
      </c>
    </row>
    <row r="22" ht="58" customHeight="1">
      <c r="A22" s="2" t="inlineStr"/>
      <c r="B22" s="2" t="inlineStr">
        <is>
          <t>확인필요</t>
        </is>
      </c>
      <c r="C22" s="2" t="inlineStr">
        <is>
          <t>국민연금공단</t>
        </is>
      </c>
      <c r="D22" s="2" t="inlineStr">
        <is>
          <t>정규직</t>
        </is>
      </c>
      <c r="E22" s="2" t="inlineStr">
        <is>
          <t>전기;전자</t>
        </is>
      </c>
      <c r="F22" s="2" t="inlineStr">
        <is>
          <t>경영.회계.사무,보건.의료,사회복지.종교,전기.전자</t>
        </is>
      </c>
      <c r="G22" s="2" t="inlineStr">
        <is>
          <t>90</t>
        </is>
      </c>
      <c r="H22" s="2" t="inlineStr">
        <is>
          <t>확인필요</t>
        </is>
      </c>
      <c r="I22" s="2" t="inlineStr">
        <is>
          <t>미표기</t>
        </is>
      </c>
      <c r="J22" s="5" t="inlineStr"/>
      <c r="K22" s="5" t="n">
        <v>46269</v>
      </c>
      <c r="L22" s="5" t="n">
        <v>46283</v>
      </c>
      <c r="M22" s="2">
        <f>IF($L22="","미정",IF($L22&lt;TODAY(),"마감",IF($L22-TODAY()&lt;=7,"임박","진행중")))</f>
        <v/>
      </c>
      <c r="N22" s="5" t="inlineStr"/>
      <c r="O22" s="5" t="inlineStr"/>
      <c r="P22" s="5" t="inlineStr"/>
      <c r="Q22"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22" s="2" t="inlineStr"/>
      <c r="S22"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22" s="2" t="inlineStr"/>
      <c r="U22" s="6" t="inlineStr">
        <is>
          <t>https://www.nps.or.kr/pnsgdnc/hiregdnc/getOHAE0004M0List.do?menuId=MN24000969</t>
        </is>
      </c>
      <c r="V22" s="2" t="inlineStr">
        <is>
          <t>https://job.alio.go.kr/recruitview.do?idx=304656</t>
        </is>
      </c>
      <c r="W22" s="2" t="inlineStr">
        <is>
          <t>공공데이터 오픈API(2026-09-07 수집)</t>
        </is>
      </c>
      <c r="X22"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22" s="2" t="inlineStr">
        <is>
          <t>304656</t>
        </is>
      </c>
      <c r="Z22" s="2" t="inlineStr">
        <is>
          <t xml:space="preserve"> 2026년도 하반기 일반직 신입직원 공개채용 공고</t>
        </is>
      </c>
    </row>
    <row r="23" ht="58" customHeight="1">
      <c r="A23" s="2" t="inlineStr"/>
      <c r="B23" s="2" t="inlineStr">
        <is>
          <t>확인필요</t>
        </is>
      </c>
      <c r="C23" s="2" t="inlineStr">
        <is>
          <t>부산항만공사</t>
        </is>
      </c>
      <c r="D23" s="2" t="inlineStr">
        <is>
          <t>정규직</t>
        </is>
      </c>
      <c r="E23" s="2" t="inlineStr">
        <is>
          <t>시설</t>
        </is>
      </c>
      <c r="F23" s="2" t="inlineStr">
        <is>
          <t>경영.회계.사무,건설</t>
        </is>
      </c>
      <c r="G23" s="2" t="inlineStr">
        <is>
          <t>11</t>
        </is>
      </c>
      <c r="H23" s="3" t="inlineStr">
        <is>
          <t>재학생</t>
        </is>
      </c>
      <c r="I23" s="2" t="inlineStr">
        <is>
          <t>미표기</t>
        </is>
      </c>
      <c r="J23" s="5" t="inlineStr"/>
      <c r="K23" s="5" t="n">
        <v>46267</v>
      </c>
      <c r="L23" s="5" t="n">
        <v>46282</v>
      </c>
      <c r="M23" s="2">
        <f>IF($L23="","미정",IF($L23&lt;TODAY(),"마감",IF($L23-TODAY()&lt;=7,"임박","진행중")))</f>
        <v/>
      </c>
      <c r="N23" s="5" t="inlineStr"/>
      <c r="O23" s="5" t="inlineStr"/>
      <c r="P23" s="5" t="inlineStr"/>
      <c r="Q23"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23" s="2" t="inlineStr"/>
      <c r="S23"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23" s="2" t="inlineStr"/>
      <c r="U23" s="6" t="inlineStr">
        <is>
          <t>https://www.busanpa.com/board/list.bpa?boardId=BBS_0000046&amp;menuCd=DOM_000000107001001000&amp;contentsSid=47</t>
        </is>
      </c>
      <c r="V23" s="2" t="inlineStr">
        <is>
          <t>https://job.alio.go.kr/recruitview.do?idx=304555</t>
        </is>
      </c>
      <c r="W23" s="2" t="inlineStr">
        <is>
          <t>공공데이터 오픈API(2026-09-07 수집)</t>
        </is>
      </c>
      <c r="X23"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23" s="2" t="inlineStr">
        <is>
          <t>304555</t>
        </is>
      </c>
      <c r="Z23" s="2" t="inlineStr">
        <is>
          <t xml:space="preserve">부산항만공사 정규직(신입) 채용 공고 </t>
        </is>
      </c>
    </row>
    <row r="24" ht="58" customHeight="1">
      <c r="A24" s="2" t="inlineStr"/>
      <c r="B24" s="2" t="inlineStr">
        <is>
          <t>확인필요</t>
        </is>
      </c>
      <c r="C24" s="2" t="inlineStr">
        <is>
          <t>예금보험공사</t>
        </is>
      </c>
      <c r="D24" s="2" t="inlineStr">
        <is>
          <t>정규직</t>
        </is>
      </c>
      <c r="E24" s="2" t="inlineStr">
        <is>
          <t>전자</t>
        </is>
      </c>
      <c r="F24" s="2" t="inlineStr">
        <is>
          <t>경영.회계.사무,금융.보험,영업판매,정보통신</t>
        </is>
      </c>
      <c r="G24" s="2" t="inlineStr">
        <is>
          <t>35</t>
        </is>
      </c>
      <c r="H24" s="3" t="inlineStr">
        <is>
          <t>재학생</t>
        </is>
      </c>
      <c r="I24" s="4" t="inlineStr">
        <is>
          <t>필요</t>
        </is>
      </c>
      <c r="J24" s="5" t="inlineStr"/>
      <c r="K24" s="5" t="n">
        <v>46262</v>
      </c>
      <c r="L24" s="5" t="n">
        <v>46276</v>
      </c>
      <c r="M24" s="2">
        <f>IF($L24="","미정",IF($L24&lt;TODAY(),"마감",IF($L24-TODAY()&lt;=7,"임박","진행중")))</f>
        <v/>
      </c>
      <c r="N24" s="5" t="inlineStr"/>
      <c r="O24" s="5" t="inlineStr"/>
      <c r="P24" s="5" t="inlineStr"/>
      <c r="Q24"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24" s="2" t="inlineStr"/>
      <c r="S24"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24" s="2" t="inlineStr"/>
      <c r="U24" s="6" t="inlineStr">
        <is>
          <t>https://www.kdic.or.kr</t>
        </is>
      </c>
      <c r="V24" s="2" t="inlineStr">
        <is>
          <t>https://job.alio.go.kr/recruitview.do?idx=304400</t>
        </is>
      </c>
      <c r="W24" s="2" t="inlineStr">
        <is>
          <t>공공데이터 오픈API(2026-08-31 수집)</t>
        </is>
      </c>
      <c r="X24"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24" s="2" t="inlineStr">
        <is>
          <t>304400</t>
        </is>
      </c>
      <c r="Z24" s="2" t="inlineStr">
        <is>
          <t>2026년도 예금보험공사 신입직원 채용안내</t>
        </is>
      </c>
    </row>
    <row r="25" ht="58" customHeight="1">
      <c r="A25" s="2" t="inlineStr"/>
      <c r="B25" s="2" t="inlineStr">
        <is>
          <t>확인필요</t>
        </is>
      </c>
      <c r="C25" s="2" t="inlineStr">
        <is>
          <t>국립생태원</t>
        </is>
      </c>
      <c r="D25" s="2" t="inlineStr">
        <is>
          <t>무기계약직,청년인턴(채용형),정규직</t>
        </is>
      </c>
      <c r="E25" s="2" t="inlineStr">
        <is>
          <t>기계;전자;시설;사무</t>
        </is>
      </c>
      <c r="F25"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25" s="2" t="inlineStr">
        <is>
          <t>57명</t>
        </is>
      </c>
      <c r="H25" s="2" t="inlineStr">
        <is>
          <t>공통</t>
        </is>
      </c>
      <c r="I25" s="2" t="inlineStr">
        <is>
          <t>미표기</t>
        </is>
      </c>
      <c r="J25" s="5" t="inlineStr"/>
      <c r="K25" s="5" t="n">
        <v>46258</v>
      </c>
      <c r="L25" s="5" t="n">
        <v>46274</v>
      </c>
      <c r="M25" s="2">
        <f>IF($L25="","미정",IF($L25&lt;TODAY(),"마감",IF($L25-TODAY()&lt;=7,"임박","진행중")))</f>
        <v/>
      </c>
      <c r="N25" s="5" t="inlineStr"/>
      <c r="O25" s="5" t="inlineStr"/>
      <c r="P25" s="5" t="inlineStr"/>
      <c r="Q25"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25" s="2" t="inlineStr"/>
      <c r="S25"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25" s="2" t="inlineStr"/>
      <c r="U25" s="6" t="inlineStr">
        <is>
          <t>https://nie.careeron.co.kr/#/</t>
        </is>
      </c>
      <c r="V25" s="2" t="inlineStr">
        <is>
          <t>https://job.alio.go.kr/recruitview.do?idx=304226</t>
        </is>
      </c>
      <c r="W25" s="2" t="inlineStr">
        <is>
          <t>잡알리오(2026-08-26 수집)</t>
        </is>
      </c>
      <c r="X25"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25" s="2" t="inlineStr">
        <is>
          <t>304226</t>
        </is>
      </c>
      <c r="Z25" s="2" t="inlineStr"/>
    </row>
    <row r="26" ht="58" customHeight="1">
      <c r="A26" s="2" t="inlineStr"/>
      <c r="B26" s="2" t="inlineStr">
        <is>
          <t>확인필요</t>
        </is>
      </c>
      <c r="C26" s="2" t="inlineStr">
        <is>
          <t>한국산업기술시험원</t>
        </is>
      </c>
      <c r="D26" s="2" t="inlineStr">
        <is>
          <t>무기계약직,청년인턴(채용형),정규직</t>
        </is>
      </c>
      <c r="E26" s="2" t="inlineStr">
        <is>
          <t>기계;전기;전자;시설;사무</t>
        </is>
      </c>
      <c r="F26"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26" s="2" t="inlineStr">
        <is>
          <t>47명</t>
        </is>
      </c>
      <c r="H26" s="2" t="inlineStr">
        <is>
          <t>확인필요</t>
        </is>
      </c>
      <c r="I26" s="2" t="inlineStr">
        <is>
          <t>미표기</t>
        </is>
      </c>
      <c r="J26" s="5" t="inlineStr"/>
      <c r="K26" s="5" t="n">
        <v>46258</v>
      </c>
      <c r="L26" s="5" t="n">
        <v>46273</v>
      </c>
      <c r="M26" s="2">
        <f>IF($L26="","미정",IF($L26&lt;TODAY(),"마감",IF($L26-TODAY()&lt;=7,"임박","진행중")))</f>
        <v/>
      </c>
      <c r="N26" s="5" t="inlineStr"/>
      <c r="O26" s="5" t="inlineStr"/>
      <c r="P26" s="5" t="inlineStr"/>
      <c r="Q26"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26" s="2" t="inlineStr"/>
      <c r="S26" s="2" t="inlineStr">
        <is>
          <t>국가유공자, 장애인, 이전지역(경남·울산)인재, 저소득층, 북한이탈주민, 다문화가족, 자립준비청년, 시험원 체험형 청년인턴 수료자(수료일 : '24.9.8.~'26.9.8. 기간 내)</t>
        </is>
      </c>
      <c r="T26" s="2" t="inlineStr"/>
      <c r="U26" s="6" t="inlineStr">
        <is>
          <t>https://ktl2026.careerlink.kr/</t>
        </is>
      </c>
      <c r="V26" s="2" t="inlineStr">
        <is>
          <t>https://job.alio.go.kr/recruitview.do?idx=304192</t>
        </is>
      </c>
      <c r="W26" s="2" t="inlineStr">
        <is>
          <t>잡알리오(2026-08-26 수집)</t>
        </is>
      </c>
      <c r="X26"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26" s="2" t="inlineStr">
        <is>
          <t>304192</t>
        </is>
      </c>
      <c r="Z26" s="2" t="inlineStr"/>
    </row>
    <row r="27" ht="58" customHeight="1">
      <c r="A27" s="2" t="inlineStr"/>
      <c r="B27" s="2" t="inlineStr">
        <is>
          <t>확인필요</t>
        </is>
      </c>
      <c r="C27" s="2" t="inlineStr">
        <is>
          <t>한국산업단지공단</t>
        </is>
      </c>
      <c r="D27" s="2" t="inlineStr">
        <is>
          <t>정규직</t>
        </is>
      </c>
      <c r="E27" s="2" t="inlineStr">
        <is>
          <t>전기;사무</t>
        </is>
      </c>
      <c r="F27"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27" s="2" t="inlineStr">
        <is>
          <t>22명</t>
        </is>
      </c>
      <c r="H27" s="2" t="inlineStr">
        <is>
          <t>공통</t>
        </is>
      </c>
      <c r="I27" s="4" t="inlineStr">
        <is>
          <t>필요</t>
        </is>
      </c>
      <c r="J27" s="5" t="inlineStr"/>
      <c r="K27" s="5" t="n">
        <v>46254</v>
      </c>
      <c r="L27" s="5" t="n">
        <v>46268</v>
      </c>
      <c r="M27" s="2">
        <f>IF($L27="","미정",IF($L27&lt;TODAY(),"마감",IF($L27-TODAY()&lt;=7,"임박","진행중")))</f>
        <v/>
      </c>
      <c r="N27" s="5" t="inlineStr"/>
      <c r="O27" s="5" t="inlineStr"/>
      <c r="P27" s="5" t="inlineStr"/>
      <c r="Q27"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27" s="2" t="inlineStr"/>
      <c r="S27" s="2" t="inlineStr">
        <is>
          <t>취업지원대상자, 장애인, 국민기초생활수급자, 한부모가족, 북한이탈주민, 다문화가족, 경력단절 여성, 자립준비청년, 한국산업단지공단 청년인턴 * 보다 자세한 사항은 채용 공고문 참조</t>
        </is>
      </c>
      <c r="T27" s="2" t="inlineStr"/>
      <c r="U27" s="6" t="inlineStr">
        <is>
          <t>https://kicox.saramin.co.kr</t>
        </is>
      </c>
      <c r="V27" s="2" t="inlineStr">
        <is>
          <t>https://job.alio.go.kr/recruitview.do?idx=304044</t>
        </is>
      </c>
      <c r="W27" s="2" t="inlineStr">
        <is>
          <t>잡알리오(2026-08-26 수집)</t>
        </is>
      </c>
      <c r="X27"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27" s="2" t="inlineStr">
        <is>
          <t>304044</t>
        </is>
      </c>
      <c r="Z27" s="2" t="inlineStr"/>
    </row>
    <row r="28" ht="58" customHeight="1">
      <c r="A28" s="2" t="inlineStr"/>
      <c r="B28" s="2" t="inlineStr">
        <is>
          <t>확인필요</t>
        </is>
      </c>
      <c r="C28" s="2" t="inlineStr">
        <is>
          <t>서울대학교병원</t>
        </is>
      </c>
      <c r="D28" s="2" t="inlineStr">
        <is>
          <t>정규직</t>
        </is>
      </c>
      <c r="E28" s="2" t="inlineStr">
        <is>
          <t>기계;시설;사무</t>
        </is>
      </c>
      <c r="F28"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28" s="2" t="inlineStr">
        <is>
          <t>96명</t>
        </is>
      </c>
      <c r="H28" s="2" t="inlineStr">
        <is>
          <t>공통</t>
        </is>
      </c>
      <c r="I28" s="2" t="inlineStr">
        <is>
          <t>미표기</t>
        </is>
      </c>
      <c r="J28" s="5" t="inlineStr"/>
      <c r="K28" s="5" t="n">
        <v>46253</v>
      </c>
      <c r="L28" s="5" t="n">
        <v>46267</v>
      </c>
      <c r="M28" s="2">
        <f>IF($L28="","미정",IF($L28&lt;TODAY(),"마감",IF($L28-TODAY()&lt;=7,"임박","진행중")))</f>
        <v/>
      </c>
      <c r="N28" s="5" t="inlineStr"/>
      <c r="O28" s="5" t="inlineStr"/>
      <c r="P28" s="5" t="inlineStr"/>
      <c r="Q28"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28" s="2" t="inlineStr"/>
      <c r="S28" s="2" t="inlineStr">
        <is>
          <t>취업지원대상자, 장애인, 본원 체험형 인턴 우수자</t>
        </is>
      </c>
      <c r="T28" s="2" t="inlineStr"/>
      <c r="U28" s="6" t="inlineStr">
        <is>
          <t>https://recruit.snuh.org/joining/recruit/view.do?notice_type=E&amp;recruit_id=26110</t>
        </is>
      </c>
      <c r="V28" s="2" t="inlineStr">
        <is>
          <t>https://job.alio.go.kr/recruitview.do?idx=304035</t>
        </is>
      </c>
      <c r="W28" s="2" t="inlineStr">
        <is>
          <t>잡알리오(2026-08-26 수집)</t>
        </is>
      </c>
      <c r="X28"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28" s="2" t="inlineStr">
        <is>
          <t>304035</t>
        </is>
      </c>
      <c r="Z28" s="2" t="inlineStr"/>
    </row>
    <row r="29" ht="58" customHeight="1">
      <c r="A29" s="2" t="inlineStr"/>
      <c r="B29" s="2" t="inlineStr">
        <is>
          <t>확인필요</t>
        </is>
      </c>
      <c r="C29" s="2" t="inlineStr">
        <is>
          <t>한국석유공사</t>
        </is>
      </c>
      <c r="D29" s="2" t="inlineStr">
        <is>
          <t>정규직</t>
        </is>
      </c>
      <c r="E29" s="2" t="inlineStr">
        <is>
          <t>기계;전기;사무</t>
        </is>
      </c>
      <c r="F29" s="2" t="inlineStr">
        <is>
          <t>사무/경영, 기술/기계, 기술/전기</t>
        </is>
      </c>
      <c r="G29" s="2" t="inlineStr">
        <is>
          <t>11명</t>
        </is>
      </c>
      <c r="H29" s="2" t="inlineStr">
        <is>
          <t>공통</t>
        </is>
      </c>
      <c r="I29" s="2" t="inlineStr">
        <is>
          <t>미표기</t>
        </is>
      </c>
      <c r="J29" s="5" t="inlineStr"/>
      <c r="K29" s="5" t="n">
        <v>46247</v>
      </c>
      <c r="L29" s="5" t="n">
        <v>46262</v>
      </c>
      <c r="M29" s="2">
        <f>IF($L29="","미정",IF($L29&lt;TODAY(),"마감",IF($L29-TODAY()&lt;=7,"임박","진행중")))</f>
        <v/>
      </c>
      <c r="N29" s="5" t="inlineStr"/>
      <c r="O29" s="5" t="inlineStr"/>
      <c r="P29" s="5" t="inlineStr"/>
      <c r="Q29"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29" s="2" t="inlineStr"/>
      <c r="S29"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29" s="2" t="inlineStr"/>
      <c r="U29" s="6" t="inlineStr">
        <is>
          <t>https://knoc.recruitlab.co.kr/</t>
        </is>
      </c>
      <c r="V29" s="2" t="inlineStr">
        <is>
          <t>https://job.alio.go.kr/recruitview.do?idx=303892</t>
        </is>
      </c>
      <c r="W29" s="2" t="inlineStr">
        <is>
          <t>잡알리오(2026-08-27 수집)</t>
        </is>
      </c>
      <c r="X29"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29" s="2" t="inlineStr">
        <is>
          <t>303892</t>
        </is>
      </c>
      <c r="Z29" s="2" t="inlineStr"/>
    </row>
    <row r="30" ht="58" customHeight="1">
      <c r="A30" s="2" t="inlineStr"/>
      <c r="B30" s="2" t="inlineStr">
        <is>
          <t>확인필요</t>
        </is>
      </c>
      <c r="C30" s="2" t="inlineStr">
        <is>
          <t>한국산업안전보건공단</t>
        </is>
      </c>
      <c r="D30" s="2" t="inlineStr">
        <is>
          <t>정규직</t>
        </is>
      </c>
      <c r="E30" s="2" t="inlineStr">
        <is>
          <t>기계;전기;시설;사무</t>
        </is>
      </c>
      <c r="F30"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30" s="2" t="inlineStr">
        <is>
          <t>20명</t>
        </is>
      </c>
      <c r="H30" s="2" t="inlineStr">
        <is>
          <t>공통</t>
        </is>
      </c>
      <c r="I30" s="2" t="inlineStr">
        <is>
          <t>미표기</t>
        </is>
      </c>
      <c r="J30" s="5" t="inlineStr"/>
      <c r="K30" s="5" t="n">
        <v>46240</v>
      </c>
      <c r="L30" s="5" t="n">
        <v>46258</v>
      </c>
      <c r="M30" s="2">
        <f>IF($L30="","미정",IF($L30&lt;TODAY(),"마감",IF($L30-TODAY()&lt;=7,"임박","진행중")))</f>
        <v/>
      </c>
      <c r="N30" s="5" t="inlineStr"/>
      <c r="O30" s="5" t="inlineStr"/>
      <c r="P30" s="5" t="inlineStr"/>
      <c r="Q30"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30" s="2" t="inlineStr"/>
      <c r="S30" s="2" t="inlineStr">
        <is>
          <t>취업지원대상자, 장애인, 국민기초생활수급자, 한부모가족, 북한이탈주민, 다문화가족, 자립준비청년, '25년도 공단 체험형 인턴 수료자 ※ 보다 자세한 사항은 첨부파일의 채용공고문 참조</t>
        </is>
      </c>
      <c r="T30" s="2" t="inlineStr"/>
      <c r="U30" s="6" t="inlineStr">
        <is>
          <t>https://kosha.or.kr/notification/jobncontract/job/jobdata?bbsId=B2025021400005&amp;pstNo=202608060856579OQYZ6</t>
        </is>
      </c>
      <c r="V30" s="2" t="inlineStr">
        <is>
          <t>https://job.alio.go.kr/recruitview.do?idx=303583</t>
        </is>
      </c>
      <c r="W30" s="2" t="inlineStr">
        <is>
          <t>잡알리오(2026-08-26 수집)</t>
        </is>
      </c>
      <c r="X30"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30" s="2" t="inlineStr">
        <is>
          <t>303583</t>
        </is>
      </c>
      <c r="Z30" s="2" t="inlineStr"/>
    </row>
    <row r="31" ht="58" customHeight="1">
      <c r="A31" s="2" t="inlineStr"/>
      <c r="B31" s="2" t="inlineStr">
        <is>
          <t>확인필요</t>
        </is>
      </c>
      <c r="C31" s="2" t="inlineStr">
        <is>
          <t>한국광해광업공단</t>
        </is>
      </c>
      <c r="D31" s="2" t="inlineStr">
        <is>
          <t>청년인턴(체험형),청년인턴(채용형)</t>
        </is>
      </c>
      <c r="E31" s="2" t="inlineStr">
        <is>
          <t>시설;사무</t>
        </is>
      </c>
      <c r="F31"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31" s="2" t="inlineStr">
        <is>
          <t>40명</t>
        </is>
      </c>
      <c r="H31" s="3" t="inlineStr">
        <is>
          <t>재학생</t>
        </is>
      </c>
      <c r="I31" s="2" t="inlineStr">
        <is>
          <t>미표기</t>
        </is>
      </c>
      <c r="J31" s="5" t="inlineStr"/>
      <c r="K31" s="5" t="n">
        <v>46242</v>
      </c>
      <c r="L31" s="5" t="n">
        <v>46258</v>
      </c>
      <c r="M31" s="2">
        <f>IF($L31="","미정",IF($L31&lt;TODAY(),"마감",IF($L31-TODAY()&lt;=7,"임박","진행중")))</f>
        <v/>
      </c>
      <c r="N31" s="5" t="inlineStr"/>
      <c r="O31" s="5" t="inlineStr"/>
      <c r="P31" s="5" t="inlineStr"/>
      <c r="Q31"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31" s="2" t="inlineStr"/>
      <c r="S31" s="2" t="inlineStr">
        <is>
          <t>장애인, 취업지원대상자, 청년, 자립준비청년, 저소득층, 북한이탈주민, 경력단절여성, 공단 근로경력자(1년 이상)</t>
        </is>
      </c>
      <c r="T31" s="2" t="inlineStr"/>
      <c r="U31" s="6" t="inlineStr">
        <is>
          <t>https://komir.saramin.co.kr</t>
        </is>
      </c>
      <c r="V31" s="2" t="inlineStr">
        <is>
          <t>https://job.alio.go.kr/recruitview.do?idx=303653</t>
        </is>
      </c>
      <c r="W31" s="2" t="inlineStr">
        <is>
          <t>잡알리오(2026-08-26 수집)</t>
        </is>
      </c>
      <c r="X31"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31" s="2" t="inlineStr">
        <is>
          <t>303653</t>
        </is>
      </c>
      <c r="Z31" s="2" t="inlineStr"/>
    </row>
    <row r="32" ht="58" customHeight="1">
      <c r="A32" s="2" t="inlineStr"/>
      <c r="B32" s="2" t="inlineStr">
        <is>
          <t>확인필요</t>
        </is>
      </c>
      <c r="C32" s="2" t="inlineStr">
        <is>
          <t>한국철도공사</t>
        </is>
      </c>
      <c r="D32" s="2" t="inlineStr">
        <is>
          <t>청년인턴(채용형),정규직</t>
        </is>
      </c>
      <c r="E32" s="2" t="inlineStr">
        <is>
          <t>기계;전기;전자;시설;사무</t>
        </is>
      </c>
      <c r="F32"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32" s="2" t="inlineStr">
        <is>
          <t>600명</t>
        </is>
      </c>
      <c r="H32" s="2" t="inlineStr">
        <is>
          <t>공통</t>
        </is>
      </c>
      <c r="I32" s="4" t="inlineStr">
        <is>
          <t>필요</t>
        </is>
      </c>
      <c r="J32" s="5" t="inlineStr"/>
      <c r="K32" s="5" t="n">
        <v>46241</v>
      </c>
      <c r="L32" s="5" t="n">
        <v>46255</v>
      </c>
      <c r="M32" s="2">
        <f>IF($L32="","미정",IF($L32&lt;TODAY(),"마감",IF($L32-TODAY()&lt;=7,"임박","진행중")))</f>
        <v/>
      </c>
      <c r="N32" s="5" t="inlineStr"/>
      <c r="O32" s="5" t="inlineStr"/>
      <c r="P32" s="5" t="inlineStr"/>
      <c r="Q32"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32" s="2" t="inlineStr"/>
      <c r="S32"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32" s="2" t="inlineStr"/>
      <c r="U32" s="6" t="inlineStr">
        <is>
          <t>https://info.korail.com</t>
        </is>
      </c>
      <c r="V32" s="2" t="inlineStr">
        <is>
          <t>https://job.alio.go.kr/recruitview.do?idx=303642</t>
        </is>
      </c>
      <c r="W32" s="2" t="inlineStr">
        <is>
          <t>잡알리오(2026-08-26 수집)</t>
        </is>
      </c>
      <c r="X32"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32" s="2" t="inlineStr">
        <is>
          <t>303642</t>
        </is>
      </c>
      <c r="Z32" s="2" t="inlineStr"/>
    </row>
    <row r="33" ht="58" customHeight="1">
      <c r="A33" s="2" t="inlineStr"/>
      <c r="B33" s="2" t="inlineStr">
        <is>
          <t>확인필요</t>
        </is>
      </c>
      <c r="C33" s="2" t="inlineStr">
        <is>
          <t>한국남동발전(주)</t>
        </is>
      </c>
      <c r="D33" s="2" t="inlineStr">
        <is>
          <t>정규직</t>
        </is>
      </c>
      <c r="E33" s="2" t="inlineStr">
        <is>
          <t>기계;전기</t>
        </is>
      </c>
      <c r="F33" s="2" t="inlineStr">
        <is>
          <t>대졸수준 신입 일반전형-화학, 고졸수준 신입 일반전형-기계, 고졸수준 신입 일반전형-전기, 고졸수준 신입 일반전형-화학</t>
        </is>
      </c>
      <c r="G33" s="2" t="inlineStr">
        <is>
          <t>30명</t>
        </is>
      </c>
      <c r="H33" s="2" t="inlineStr">
        <is>
          <t>공통</t>
        </is>
      </c>
      <c r="I33" s="2" t="inlineStr">
        <is>
          <t>미표기</t>
        </is>
      </c>
      <c r="J33" s="5" t="inlineStr"/>
      <c r="K33" s="5" t="n">
        <v>46237</v>
      </c>
      <c r="L33" s="5" t="n">
        <v>46252</v>
      </c>
      <c r="M33" s="2">
        <f>IF($L33="","미정",IF($L33&lt;TODAY(),"마감",IF($L33-TODAY()&lt;=7,"임박","진행중")))</f>
        <v/>
      </c>
      <c r="N33" s="5" t="inlineStr"/>
      <c r="O33" s="5" t="inlineStr"/>
      <c r="P33" s="5" t="inlineStr"/>
      <c r="Q33"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33" s="2" t="inlineStr"/>
      <c r="S33" s="2" t="inlineStr">
        <is>
          <t>취업지원대상자, 장애인, 저소득층, 다문화가정, 자립준비청년, 발전소 주변지역주민, 북한이탈주민, 시간선택제 근로자(당사 재직자), 체험형인턴 우수자 등</t>
        </is>
      </c>
      <c r="T33" s="2" t="inlineStr"/>
      <c r="U33" s="6" t="inlineStr">
        <is>
          <t>https://koenergy.saramin.co.kr</t>
        </is>
      </c>
      <c r="V33" s="2" t="inlineStr">
        <is>
          <t>https://job.alio.go.kr/recruitview.do?idx=303429</t>
        </is>
      </c>
      <c r="W33" s="2" t="inlineStr">
        <is>
          <t>잡알리오(2026-08-26 수집)</t>
        </is>
      </c>
      <c r="X33"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33" s="2" t="inlineStr">
        <is>
          <t>303429</t>
        </is>
      </c>
      <c r="Z33" s="2" t="inlineStr"/>
    </row>
    <row r="34" ht="58" customHeight="1">
      <c r="A34" s="2" t="inlineStr"/>
      <c r="B34" s="2" t="inlineStr">
        <is>
          <t>확인필요</t>
        </is>
      </c>
      <c r="C34" s="2" t="inlineStr">
        <is>
          <t>한국가스공사</t>
        </is>
      </c>
      <c r="D34" s="2" t="inlineStr">
        <is>
          <t>청년인턴(채용형)</t>
        </is>
      </c>
      <c r="E34" s="2" t="inlineStr">
        <is>
          <t>기계;전기;시설</t>
        </is>
      </c>
      <c r="F34" s="2" t="inlineStr">
        <is>
          <t>채용형 인턴(7급) - 기계, 채용형 인턴(7급) - 전기, 채용형 인턴(7급) - 화공</t>
        </is>
      </c>
      <c r="G34" s="2" t="inlineStr">
        <is>
          <t>20명</t>
        </is>
      </c>
      <c r="H34" s="2" t="inlineStr">
        <is>
          <t>확인필요</t>
        </is>
      </c>
      <c r="I34" s="2" t="inlineStr">
        <is>
          <t>미표기</t>
        </is>
      </c>
      <c r="J34" s="5" t="inlineStr"/>
      <c r="K34" s="5" t="n">
        <v>46234</v>
      </c>
      <c r="L34" s="5" t="n">
        <v>46248</v>
      </c>
      <c r="M34" s="2">
        <f>IF($L34="","미정",IF($L34&lt;TODAY(),"마감",IF($L34-TODAY()&lt;=7,"임박","진행중")))</f>
        <v/>
      </c>
      <c r="N34" s="5" t="inlineStr"/>
      <c r="O34" s="5" t="inlineStr"/>
      <c r="P34" s="5" t="inlineStr"/>
      <c r="Q34"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34" s="2" t="inlineStr"/>
      <c r="S34" s="2" t="inlineStr">
        <is>
          <t>하단 우대 내용 참조</t>
        </is>
      </c>
      <c r="T34" s="2" t="inlineStr"/>
      <c r="U34" s="6" t="inlineStr">
        <is>
          <t>https://www.kogas.or.kr</t>
        </is>
      </c>
      <c r="V34" s="2" t="inlineStr">
        <is>
          <t>https://job.alio.go.kr/recruitview.do?idx=303318</t>
        </is>
      </c>
      <c r="W34" s="2" t="inlineStr">
        <is>
          <t>잡알리오(2026-08-27 수집)</t>
        </is>
      </c>
      <c r="X34"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34" s="2" t="inlineStr">
        <is>
          <t>303318</t>
        </is>
      </c>
      <c r="Z34" s="2" t="inlineStr"/>
    </row>
    <row r="35" ht="58" customHeight="1">
      <c r="A35" s="2" t="inlineStr"/>
      <c r="B35" s="2" t="inlineStr">
        <is>
          <t>확인필요</t>
        </is>
      </c>
      <c r="C35" s="2" t="inlineStr">
        <is>
          <t>한국산업인력공단</t>
        </is>
      </c>
      <c r="D35" s="2" t="inlineStr">
        <is>
          <t>정규직</t>
        </is>
      </c>
      <c r="E35" s="2" t="inlineStr">
        <is>
          <t>시설;사무</t>
        </is>
      </c>
      <c r="F35"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35" s="2" t="inlineStr">
        <is>
          <t>40명</t>
        </is>
      </c>
      <c r="H35" s="2" t="inlineStr">
        <is>
          <t>공통</t>
        </is>
      </c>
      <c r="I35" s="2" t="inlineStr">
        <is>
          <t>미표기</t>
        </is>
      </c>
      <c r="J35" s="5" t="inlineStr"/>
      <c r="K35" s="5" t="n">
        <v>46232</v>
      </c>
      <c r="L35" s="5" t="n">
        <v>46247</v>
      </c>
      <c r="M35" s="2">
        <f>IF($L35="","미정",IF($L35&lt;TODAY(),"마감",IF($L35-TODAY()&lt;=7,"임박","진행중")))</f>
        <v/>
      </c>
      <c r="N35" s="5" t="inlineStr"/>
      <c r="O35" s="5" t="inlineStr"/>
      <c r="P35" s="5" t="inlineStr"/>
      <c r="Q35"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35" s="2" t="inlineStr"/>
      <c r="S35" s="2" t="inlineStr">
        <is>
          <t>장애인, 취업지원대상자, 국민기초생활수급자, 한부모가족, 자립준비청년, 북한이탈주민, 다문화가족, 우리 공단 청년인턴, 우리 공단 정규직 재직직원 ※ 자세한 사항은 첨부파일 참조</t>
        </is>
      </c>
      <c r="T35" s="2" t="inlineStr"/>
      <c r="U35" s="6" t="inlineStr">
        <is>
          <t>https://www.hrdkorea.or.kr/3/1/2/2</t>
        </is>
      </c>
      <c r="V35" s="2" t="inlineStr">
        <is>
          <t>https://job.alio.go.kr/recruitview.do?idx=303146</t>
        </is>
      </c>
      <c r="W35" s="2" t="inlineStr">
        <is>
          <t>잡알리오(2026-08-26 수집)</t>
        </is>
      </c>
      <c r="X35"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35" s="2" t="inlineStr">
        <is>
          <t>303146</t>
        </is>
      </c>
      <c r="Z35" s="2" t="inlineStr"/>
    </row>
    <row r="36" ht="58" customHeight="1">
      <c r="A36" s="2" t="inlineStr"/>
      <c r="B36" s="2" t="inlineStr">
        <is>
          <t>확인필요</t>
        </is>
      </c>
      <c r="C36" s="2" t="inlineStr">
        <is>
          <t>한국수력원자력(주)</t>
        </is>
      </c>
      <c r="D36" s="2" t="inlineStr">
        <is>
          <t>정규직</t>
        </is>
      </c>
      <c r="E36" s="2" t="inlineStr">
        <is>
          <t>기계;전기;전자</t>
        </is>
      </c>
      <c r="F36" s="2" t="inlineStr">
        <is>
          <t>재학생(기계), 재학생(전기전자), 졸업생(기계), 졸업생(전기전자)</t>
        </is>
      </c>
      <c r="G36" s="2" t="inlineStr">
        <is>
          <t>32명</t>
        </is>
      </c>
      <c r="H36" s="3" t="inlineStr">
        <is>
          <t>재학생</t>
        </is>
      </c>
      <c r="I36" s="2" t="inlineStr">
        <is>
          <t>미표기</t>
        </is>
      </c>
      <c r="J36" s="5" t="inlineStr"/>
      <c r="K36" s="5" t="n">
        <v>46226</v>
      </c>
      <c r="L36" s="5" t="n">
        <v>46241</v>
      </c>
      <c r="M36" s="2">
        <f>IF($L36="","미정",IF($L36&lt;TODAY(),"마감",IF($L36-TODAY()&lt;=7,"임박","진행중")))</f>
        <v/>
      </c>
      <c r="N36" s="5" t="inlineStr"/>
      <c r="O36" s="5" t="inlineStr"/>
      <c r="P36" s="5" t="inlineStr"/>
      <c r="Q36"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36" s="2" t="inlineStr"/>
      <c r="S36"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36" s="2" t="inlineStr"/>
      <c r="U36" s="6" t="inlineStr">
        <is>
          <t>https://www.khnp.co.kr/recruit</t>
        </is>
      </c>
      <c r="V36" s="2" t="inlineStr">
        <is>
          <t>https://job.alio.go.kr/recruitview.do?idx=302994</t>
        </is>
      </c>
      <c r="W36" s="2" t="inlineStr">
        <is>
          <t>잡알리오(2026-08-27 수집)</t>
        </is>
      </c>
      <c r="X36"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36" s="2" t="inlineStr">
        <is>
          <t>302994</t>
        </is>
      </c>
      <c r="Z36" s="2" t="inlineStr"/>
    </row>
    <row r="37" ht="58" customHeight="1">
      <c r="A37" s="2" t="inlineStr"/>
      <c r="B37" s="2" t="inlineStr">
        <is>
          <t>확인필요</t>
        </is>
      </c>
      <c r="C37" s="2" t="inlineStr">
        <is>
          <t>한국수력원자력(주)</t>
        </is>
      </c>
      <c r="D37" s="2" t="inlineStr">
        <is>
          <t>정규직</t>
        </is>
      </c>
      <c r="E37" s="2" t="inlineStr">
        <is>
          <t>기계;전기;전자;시설;사무</t>
        </is>
      </c>
      <c r="F37"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37" s="2" t="inlineStr">
        <is>
          <t>229명</t>
        </is>
      </c>
      <c r="H37" s="2" t="inlineStr">
        <is>
          <t>확인필요</t>
        </is>
      </c>
      <c r="I37" s="2" t="inlineStr">
        <is>
          <t>미표기</t>
        </is>
      </c>
      <c r="J37" s="5" t="inlineStr"/>
      <c r="K37" s="5" t="n">
        <v>46225</v>
      </c>
      <c r="L37" s="5" t="n">
        <v>46240</v>
      </c>
      <c r="M37" s="2">
        <f>IF($L37="","미정",IF($L37&lt;TODAY(),"마감",IF($L37-TODAY()&lt;=7,"임박","진행중")))</f>
        <v/>
      </c>
      <c r="N37" s="5" t="inlineStr"/>
      <c r="O37" s="5" t="inlineStr"/>
      <c r="P37" s="5" t="inlineStr"/>
      <c r="Q37"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37" s="2" t="inlineStr"/>
      <c r="S37"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37" s="2" t="inlineStr"/>
      <c r="U37" s="6" t="inlineStr">
        <is>
          <t>https://www.khnp.co.kr/recruit</t>
        </is>
      </c>
      <c r="V37" s="2" t="inlineStr">
        <is>
          <t>https://job.alio.go.kr/recruitview.do?idx=302968</t>
        </is>
      </c>
      <c r="W37" s="2" t="inlineStr">
        <is>
          <t>잡알리오(2026-08-26 수집)</t>
        </is>
      </c>
      <c r="X37"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37" s="2" t="inlineStr">
        <is>
          <t>302968</t>
        </is>
      </c>
      <c r="Z37" s="2" t="inlineStr"/>
    </row>
    <row r="38" ht="58" customHeight="1">
      <c r="A38" s="2" t="inlineStr"/>
      <c r="B38" s="2" t="inlineStr">
        <is>
          <t>확인필요</t>
        </is>
      </c>
      <c r="C38" s="2" t="inlineStr">
        <is>
          <t>한국환경산업기술원</t>
        </is>
      </c>
      <c r="D38" s="2" t="inlineStr">
        <is>
          <t>무기계약직,정규직</t>
        </is>
      </c>
      <c r="E38" s="2" t="inlineStr">
        <is>
          <t>시설;사무</t>
        </is>
      </c>
      <c r="F38" s="2" t="inlineStr">
        <is>
          <t>5급(제품환경), 5급(환경산업), 5급(환경보건), 5급(사회복지), 5급(정보화), 전문2급(국제협력), 행정3급(환경행정), 지원2급(전산), 보안2급(운전)</t>
        </is>
      </c>
      <c r="G38" s="2" t="inlineStr">
        <is>
          <t>38명</t>
        </is>
      </c>
      <c r="H38" s="2" t="inlineStr">
        <is>
          <t>졸업생</t>
        </is>
      </c>
      <c r="I38" s="2" t="inlineStr">
        <is>
          <t>미표기</t>
        </is>
      </c>
      <c r="J38" s="5" t="inlineStr"/>
      <c r="K38" s="5" t="n">
        <v>46213</v>
      </c>
      <c r="L38" s="5" t="n">
        <v>46227</v>
      </c>
      <c r="M38" s="2">
        <f>IF($L38="","미정",IF($L38&lt;TODAY(),"마감",IF($L38-TODAY()&lt;=7,"임박","진행중")))</f>
        <v/>
      </c>
      <c r="N38" s="5" t="inlineStr"/>
      <c r="O38" s="5" t="inlineStr"/>
      <c r="P38" s="5" t="inlineStr"/>
      <c r="Q38"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38" s="2" t="inlineStr"/>
      <c r="S38" s="2" t="inlineStr">
        <is>
          <t>장애인, 취업지원대상자 등 (※ 상세 내용은 첨부파일 채용 공고 참조)</t>
        </is>
      </c>
      <c r="T38" s="2" t="inlineStr"/>
      <c r="U38" s="6" t="inlineStr">
        <is>
          <t>http://www.keiti.re.kr</t>
        </is>
      </c>
      <c r="V38" s="2" t="inlineStr">
        <is>
          <t>https://job.alio.go.kr/recruitview.do?idx=302600</t>
        </is>
      </c>
      <c r="W38" s="2" t="inlineStr">
        <is>
          <t>잡알리오(2026-08-26 수집)</t>
        </is>
      </c>
      <c r="X38"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38" s="2" t="inlineStr">
        <is>
          <t>302600</t>
        </is>
      </c>
      <c r="Z38" s="2" t="inlineStr"/>
    </row>
    <row r="39" ht="58" customHeight="1">
      <c r="A39" s="2" t="inlineStr"/>
      <c r="B39" s="2" t="inlineStr">
        <is>
          <t>확인필요</t>
        </is>
      </c>
      <c r="C39" s="2" t="inlineStr">
        <is>
          <t>한국중부발전(주)</t>
        </is>
      </c>
      <c r="D39" s="2" t="inlineStr">
        <is>
          <t>정규직</t>
        </is>
      </c>
      <c r="E39" s="2" t="inlineStr">
        <is>
          <t>기계;전기</t>
        </is>
      </c>
      <c r="F39"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39" s="2" t="inlineStr">
        <is>
          <t>98명</t>
        </is>
      </c>
      <c r="H39" s="2" t="inlineStr">
        <is>
          <t>공통</t>
        </is>
      </c>
      <c r="I39" s="2" t="inlineStr">
        <is>
          <t>미표기</t>
        </is>
      </c>
      <c r="J39" s="5" t="inlineStr"/>
      <c r="K39" s="5" t="n">
        <v>46210</v>
      </c>
      <c r="L39" s="5" t="n">
        <v>46225</v>
      </c>
      <c r="M39" s="2">
        <f>IF($L39="","미정",IF($L39&lt;TODAY(),"마감",IF($L39-TODAY()&lt;=7,"임박","진행중")))</f>
        <v/>
      </c>
      <c r="N39" s="5" t="inlineStr"/>
      <c r="O39" s="5" t="inlineStr"/>
      <c r="P39" s="5" t="inlineStr"/>
      <c r="Q39"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39" s="2" t="inlineStr"/>
      <c r="S39"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39" s="2" t="inlineStr"/>
      <c r="U39" s="6" t="inlineStr">
        <is>
          <t>https://www.komipo.co.kr</t>
        </is>
      </c>
      <c r="V39" s="2" t="inlineStr">
        <is>
          <t>https://job.alio.go.kr/recruitview.do?idx=302314</t>
        </is>
      </c>
      <c r="W39" s="2" t="inlineStr">
        <is>
          <t>잡알리오(2026-08-26 수집)</t>
        </is>
      </c>
      <c r="X39"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39" s="2" t="inlineStr">
        <is>
          <t>302314</t>
        </is>
      </c>
      <c r="Z39" s="2" t="inlineStr"/>
    </row>
  </sheetData>
  <autoFilter ref="A1:Z39"/>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2026-10-07T02:42:48Z</dcterms:created>
  <dcterms:modified xmlns:dcterms="http://purl.org/dc/terms/" xmlns:xsi="http://www.w3.org/2001/XMLSchema-instance" xsi:type="dcterms:W3CDTF">2026-10-07T02:42:48Z</dcterms:modified>
</cp:coreProperties>
</file>
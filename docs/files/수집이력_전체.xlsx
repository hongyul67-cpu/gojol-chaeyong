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'수집이력'!$A$1:$Z$37</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sponco.kpcice.kr/Include/" TargetMode="External" Id="rId1"/><Relationship Type="http://schemas.openxmlformats.org/officeDocument/2006/relationships/hyperlink" Target="https://www.at.or.kr/article/apko364000/view.action?articleId=53289" TargetMode="External" Id="rId2"/><Relationship Type="http://schemas.openxmlformats.org/officeDocument/2006/relationships/hyperlink" Target="https://www.icpa.or.kr/recruit" TargetMode="External" Id="rId3"/><Relationship Type="http://schemas.openxmlformats.org/officeDocument/2006/relationships/hyperlink" Target="https://www.kwater.or.kr" TargetMode="External" Id="rId4"/><Relationship Type="http://schemas.openxmlformats.org/officeDocument/2006/relationships/hyperlink" Target="https://kogas-tech.saramin.co.kr/" TargetMode="External" Id="rId5"/><Relationship Type="http://schemas.openxmlformats.org/officeDocument/2006/relationships/hyperlink" Target="https://www.komsco.com/kor/88/recruitment/205?pageIndex=1&amp;searchCondition=&amp;searchKeyword=" TargetMode="External" Id="rId6"/><Relationship Type="http://schemas.openxmlformats.org/officeDocument/2006/relationships/hyperlink" Target="https://www.foodpolis.kr/web/Board/4424/detailView.do?pageIndex=1&amp;menu=2307" TargetMode="External" Id="rId7"/><Relationship Type="http://schemas.openxmlformats.org/officeDocument/2006/relationships/hyperlink" Target="https://www.kca.go.kr/kca/sub.do?menukey=5113&amp;mode=view&amp;no=1004559980" TargetMode="External" Id="rId8"/><Relationship Type="http://schemas.openxmlformats.org/officeDocument/2006/relationships/hyperlink" Target="https://www.lh.or.kr/board.es?mid=a10602060000&amp;bid=0053&amp;act=view&amp;list_no=734050&amp;tag=&amp;nPage=1" TargetMode="External" Id="rId9"/><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10"/><Relationship Type="http://schemas.openxmlformats.org/officeDocument/2006/relationships/hyperlink" Target="http://www.nhis.or.kr/nhis/together/wbhaea02700m01.do?mode=view&amp;articleNo=11013562&amp;article.offset=0&amp;articleLimit=10" TargetMode="External" Id="rId11"/><Relationship Type="http://schemas.openxmlformats.org/officeDocument/2006/relationships/hyperlink" Target="https://kospo.machuda.kr" TargetMode="External" Id="rId12"/><Relationship Type="http://schemas.openxmlformats.org/officeDocument/2006/relationships/hyperlink" Target="https://kgs.saramin.co.kr/" TargetMode="External" Id="rId13"/><Relationship Type="http://schemas.openxmlformats.org/officeDocument/2006/relationships/hyperlink" Target="https://recruit.incruit.com/nibp/" TargetMode="External" Id="rId14"/><Relationship Type="http://schemas.openxmlformats.org/officeDocument/2006/relationships/hyperlink" Target="https://kepco-enc.cairos.co.kr/kepco-enc/" TargetMode="External" Id="rId15"/><Relationship Type="http://schemas.openxmlformats.org/officeDocument/2006/relationships/hyperlink" Target="https://www.ex.co.kr" TargetMode="External" Id="rId16"/><Relationship Type="http://schemas.openxmlformats.org/officeDocument/2006/relationships/hyperlink" Target="https://www.koagi.or.kr/www/user/bbs/BD_selectBbsList.do?q_bbsSn=1009" TargetMode="External" Id="rId17"/><Relationship Type="http://schemas.openxmlformats.org/officeDocument/2006/relationships/hyperlink" Target="https://fowi.or.kr/user/bbs/bbsView.do?bbsManageId=22&amp;bbsId=9165" TargetMode="External" Id="rId18"/><Relationship Type="http://schemas.openxmlformats.org/officeDocument/2006/relationships/hyperlink" Target="https://www.nps.or.kr/pnsgdnc/hiregdnc/getOHAE0004M0List.do?menuId=MN24000969" TargetMode="External" Id="rId19"/><Relationship Type="http://schemas.openxmlformats.org/officeDocument/2006/relationships/hyperlink" Target="https://www.busanpa.com/board/list.bpa?boardId=BBS_0000046&amp;menuCd=DOM_000000107001001000&amp;contentsSid=47" TargetMode="External" Id="rId20"/><Relationship Type="http://schemas.openxmlformats.org/officeDocument/2006/relationships/hyperlink" Target="https://www.kdic.or.kr" TargetMode="External" Id="rId21"/><Relationship Type="http://schemas.openxmlformats.org/officeDocument/2006/relationships/hyperlink" Target="https://nie.careeron.co.kr/#/" TargetMode="External" Id="rId22"/><Relationship Type="http://schemas.openxmlformats.org/officeDocument/2006/relationships/hyperlink" Target="https://ktl2026.careerlink.kr/" TargetMode="External" Id="rId23"/><Relationship Type="http://schemas.openxmlformats.org/officeDocument/2006/relationships/hyperlink" Target="https://kicox.saramin.co.kr" TargetMode="External" Id="rId24"/><Relationship Type="http://schemas.openxmlformats.org/officeDocument/2006/relationships/hyperlink" Target="https://recruit.snuh.org/joining/recruit/view.do?notice_type=E&amp;recruit_id=26110" TargetMode="External" Id="rId25"/><Relationship Type="http://schemas.openxmlformats.org/officeDocument/2006/relationships/hyperlink" Target="https://knoc.recruitlab.co.kr/" TargetMode="External" Id="rId26"/><Relationship Type="http://schemas.openxmlformats.org/officeDocument/2006/relationships/hyperlink" Target="https://kosha.or.kr/notification/jobncontract/job/jobdata?bbsId=B2025021400005&amp;pstNo=202608060856579OQYZ6" TargetMode="External" Id="rId27"/><Relationship Type="http://schemas.openxmlformats.org/officeDocument/2006/relationships/hyperlink" Target="https://komir.saramin.co.kr" TargetMode="External" Id="rId28"/><Relationship Type="http://schemas.openxmlformats.org/officeDocument/2006/relationships/hyperlink" Target="https://info.korail.com" TargetMode="External" Id="rId29"/><Relationship Type="http://schemas.openxmlformats.org/officeDocument/2006/relationships/hyperlink" Target="https://koenergy.saramin.co.kr" TargetMode="External" Id="rId30"/><Relationship Type="http://schemas.openxmlformats.org/officeDocument/2006/relationships/hyperlink" Target="https://www.kogas.or.kr" TargetMode="External" Id="rId31"/><Relationship Type="http://schemas.openxmlformats.org/officeDocument/2006/relationships/hyperlink" Target="https://www.hrdkorea.or.kr/3/1/2/2" TargetMode="External" Id="rId32"/><Relationship Type="http://schemas.openxmlformats.org/officeDocument/2006/relationships/hyperlink" Target="https://www.khnp.co.kr/recruit" TargetMode="External" Id="rId33"/><Relationship Type="http://schemas.openxmlformats.org/officeDocument/2006/relationships/hyperlink" Target="https://www.khnp.co.kr/recruit" TargetMode="External" Id="rId34"/><Relationship Type="http://schemas.openxmlformats.org/officeDocument/2006/relationships/hyperlink" Target="http://www.keiti.re.kr" TargetMode="External" Id="rId35"/><Relationship Type="http://schemas.openxmlformats.org/officeDocument/2006/relationships/hyperlink" Target="https://www.komipo.co.kr" TargetMode="External" Id="rId36"/></Relationships>
</file>

<file path=xl/worksheets/sheet1.xml><?xml version="1.0" encoding="utf-8"?>
<worksheet xmlns="http://schemas.openxmlformats.org/spreadsheetml/2006/main">
  <sheetPr>
    <outlinePr summaryBelow="1" summaryRight="1"/>
    <pageSetUpPr fitToPage="1"/>
  </sheetPr>
  <dimension ref="A1:Z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한국체육산업개발(주)</t>
        </is>
      </c>
      <c r="D2" s="2" t="inlineStr">
        <is>
          <t>정규직</t>
        </is>
      </c>
      <c r="E2" s="2" t="inlineStr">
        <is>
          <t>시설;기계;전기;전자</t>
        </is>
      </c>
      <c r="F2" s="2" t="inlineStr">
        <is>
          <t>경영.회계.사무,건설,기계,전기.전자</t>
        </is>
      </c>
      <c r="G2" s="2" t="n">
        <v>15</v>
      </c>
      <c r="H2" s="3" t="inlineStr">
        <is>
          <t>재학생</t>
        </is>
      </c>
      <c r="I2" s="2" t="inlineStr">
        <is>
          <t>미표기</t>
        </is>
      </c>
      <c r="J2" s="4" t="inlineStr"/>
      <c r="K2" s="4" t="n">
        <v>46294</v>
      </c>
      <c r="L2" s="4" t="n">
        <v>46308</v>
      </c>
      <c r="M2" s="2">
        <f>IF($L2="","미정",IF($L2&lt;TODAY(),"마감",IF($L2-TODAY()&lt;=7,"임박","진행중")))</f>
        <v/>
      </c>
      <c r="N2" s="4" t="inlineStr"/>
      <c r="O2" s="4" t="inlineStr"/>
      <c r="P2" s="4" t="inlineStr"/>
      <c r="Q2" s="2" t="inlineStr">
        <is>
          <t>1차 서류전형(NCS기반 입사지원서, 자기소개서, 경험기술서) 2차 필기전형[NCS직업공통능력평가, NCS직무지식평가] 3차 인성검사(비대면 인성검사) 4차 면접전형[1차 토의면접, 2차 종합(경험)면접] 5차 임용(최종 시보 임용)</t>
        </is>
      </c>
      <c r="R2" s="2" t="inlineStr"/>
      <c r="S2" s="2" t="inlineStr">
        <is>
          <t xml:space="preserve">1. 취업지원대상자 ○ 전형단계별 5%, 10% 가점 ※「국가유공자 등 예우 및 지원에 관한 법률」 등 관계법령에 따른 취업지원대상자 ※국가유공자 등 채용시험 가점제도 관련 가이드라인 : 첨부 4) 참조 2. 장애인 ○ 전형단계별 5% 가점 ※「장애인고용촉진 및 직업재활법」 및 동법 시행령에 따른 장애인 3. 저소득층 ○ 전형단계별 3% 가점 ※「국민기초생활보장법」에 따른 기초생활수급자 또는 「한부모가족지원법」에 따른 한부모가족 지원대상자 4. 자립준비청년 ○ 서류단계 1.5% 가점 ※「아동복지법」에 따라 가정위탁 보호조치가 종료되거나 아동복지시설에서 퇴소한지 5년 이내인 자 5. 북한이탈주민 ○ 서류단계 1.5% 가점 ※「북한이탈주민의 보호 및 정착지원에 관한 법률」 제2조 제1호에 따른 북한이탈주민 6. 다문화가족 ○ 서류단계 1.5% 가점 ※「다문화가족지원법」 제2조에 따른 다문화가족 7. 비수도권 지역인재 ○ 서류단계 3% 가점 ※대학까지의 최종학력(대학원 이상 제외)을 기준으로 서울, 경기, 인천 지역을 제외한 비수도권 지방학교 졸업(예정)자 ※비수도권지역인재 인정범위 : 첨부 5) 참조 8. 서류전형 면제 ○ 채용공고일 기준 최종입사일 이후 2년 </t>
        </is>
      </c>
      <c r="T2" s="2" t="inlineStr"/>
      <c r="U2" s="5" t="inlineStr">
        <is>
          <t>https://ksponco.kpcice.kr/Include/</t>
        </is>
      </c>
      <c r="V2" s="2" t="inlineStr">
        <is>
          <t>https://job.alio.go.kr/recruitview.do?idx=305515</t>
        </is>
      </c>
      <c r="W2" s="2" t="inlineStr">
        <is>
          <t>공공데이터 오픈API(2026-09-30 수집)</t>
        </is>
      </c>
      <c r="X2" s="2" t="inlineStr">
        <is>
          <t>🔵 잡알리오 신규 — 시트 반영 검토 필요 / 학력요건: 학력무관,고졸 (고졸 지원 가능, 타 학력과 병행 선발) / 근무지: 서울,경기 / 응시자격: [공통] ○ 학력, 성별, 연령 등 제한 없음 (단, 당사 인사규정에 따라 정년 60세 초과자는 제외) ○「국가공무원법」 제33조 및 당사 인사규정 제20조에 의한 결격 사유에 해당하지 않는 자 * 인사규정 제20조에 의한 결격 사유: 첨부 2) 참조 ○「부패방지 및 국민권익위원회의 설치와 운영에 관한 법률」 제82조제1</t>
        </is>
      </c>
      <c r="Y2" s="2" t="inlineStr">
        <is>
          <t>305515</t>
        </is>
      </c>
      <c r="Z2" s="2" t="inlineStr">
        <is>
          <t>2026년도 NCS기반 신규직원 블라인드 채용 공고</t>
        </is>
      </c>
    </row>
    <row r="3" ht="58" customHeight="1">
      <c r="A3" s="2" t="inlineStr"/>
      <c r="B3" s="2" t="inlineStr">
        <is>
          <t>확인필요</t>
        </is>
      </c>
      <c r="C3" s="2" t="inlineStr">
        <is>
          <t>한국농수산식품유통공사</t>
        </is>
      </c>
      <c r="D3" s="2" t="inlineStr">
        <is>
          <t>정규직</t>
        </is>
      </c>
      <c r="E3" s="2" t="inlineStr">
        <is>
          <t>시설;전자</t>
        </is>
      </c>
      <c r="F3" s="2" t="inlineStr">
        <is>
          <t>사업관리,경영.회계.사무,건설,정보통신,환경.에너지.안전,농림어업</t>
        </is>
      </c>
      <c r="G3" s="2" t="inlineStr">
        <is>
          <t>66</t>
        </is>
      </c>
      <c r="H3" s="2" t="inlineStr">
        <is>
          <t>공통</t>
        </is>
      </c>
      <c r="I3" s="2" t="inlineStr">
        <is>
          <t>미표기</t>
        </is>
      </c>
      <c r="J3" s="4" t="inlineStr"/>
      <c r="K3" s="4" t="n">
        <v>46293</v>
      </c>
      <c r="L3" s="4" t="n">
        <v>46308</v>
      </c>
      <c r="M3" s="2">
        <f>IF($L3="","미정",IF($L3&lt;TODAY(),"마감",IF($L3-TODAY()&lt;=7,"임박","진행중")))</f>
        <v/>
      </c>
      <c r="N3" s="4" t="inlineStr"/>
      <c r="O3" s="4" t="inlineStr"/>
      <c r="P3" s="4" t="inlineStr"/>
      <c r="Q3" s="2" t="inlineStr">
        <is>
          <t>【전형 절차】 서류전형 → 필기전형 → 직무능력면접전형 → 경영진면접전형 □ 서류전형 - 외국어, 직무자격, 자기소개서 / 20배수 선발 * 행정(유공, 장애)는 적격자 전원 선발 □ 필기전형 - 직업기초능력평가, 직무수행능력평가, 직업성격검사 / 3~5배수 선발 □ 직무능력면접전형 - 역량면접, 토론면접 / 1.5~3배수 선발 □ 경영진면접전형 - 종합면접 / 1배수 선발 ※ 모집분야에 따른 전형별 자세한 평가항목은 첨부의 공고문 참고</t>
        </is>
      </c>
      <c r="R3" s="2" t="inlineStr"/>
      <c r="S3" s="2" t="inlineStr">
        <is>
          <t xml:space="preserve">□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적용하며, 취업지원대상자 및 장애인 가점은 상호 간 및 그 밖의 가점과 중복하여 적용할 수 있음 취업지원대상자, 장애인, 의사상자, 저소득층, 북한이탈주민, 다문화가족 자녀, 한부모가족 지원 대상자, 자립준비청년, 지역인재 </t>
        </is>
      </c>
      <c r="T3" s="2" t="inlineStr"/>
      <c r="U3" s="5" t="inlineStr">
        <is>
          <t>https://www.at.or.kr/article/apko364000/view.action?articleId=53289</t>
        </is>
      </c>
      <c r="V3" s="2" t="inlineStr">
        <is>
          <t>https://job.alio.go.kr/recruitview.do?idx=305395</t>
        </is>
      </c>
      <c r="W3" s="2" t="inlineStr">
        <is>
          <t>공공데이터 오픈API(2026-09-29 수집)</t>
        </is>
      </c>
      <c r="X3" s="2" t="inlineStr">
        <is>
          <t>🔵 잡알리오 신규 — 시트 반영 검토 필요 / 학력요건: 학력무관,고졸 (고졸 지원 가능, 타 학력과 병행 선발) / 근무지: 서울,부산,대구,인천,대전,경기,강원,충북,전북,전남광주,경남,제주 / 응시자격: 【공통지원자격】 □ 성별, 연령, 전공 제한 없음 / 단, 임용예정일(`26.12.31.) 기준 정년(만 60세) 미만인 자 □ 임용예정일(`26.12.31.)부터 즉시 근무 가능한 자 □ 공사 인사규정 제7조에 따른 채용 결격사유에 해당하지 않는 자 【모집분야별 세부지원자격】 □ 신입(5급) - 행정(일반) : 공인어학</t>
        </is>
      </c>
      <c r="Y3" s="2" t="inlineStr">
        <is>
          <t>305395</t>
        </is>
      </c>
      <c r="Z3" s="2" t="inlineStr">
        <is>
          <t>2026년 신입직원 채용공고</t>
        </is>
      </c>
    </row>
    <row r="4" ht="58" customHeight="1">
      <c r="A4" s="2" t="inlineStr"/>
      <c r="B4" s="2" t="inlineStr">
        <is>
          <t>확인필요</t>
        </is>
      </c>
      <c r="C4" s="2" t="inlineStr">
        <is>
          <t>인천항만공사</t>
        </is>
      </c>
      <c r="D4" s="2" t="inlineStr">
        <is>
          <t>청년인턴(채용형)</t>
        </is>
      </c>
      <c r="E4" s="2" t="inlineStr">
        <is>
          <t>시설;기계;전기;전자</t>
        </is>
      </c>
      <c r="F4" s="2" t="inlineStr">
        <is>
          <t>경영.회계.사무,건설,기계,전기.전자,환경.에너지.안전</t>
        </is>
      </c>
      <c r="G4" s="2" t="inlineStr">
        <is>
          <t>10</t>
        </is>
      </c>
      <c r="H4" s="2" t="inlineStr">
        <is>
          <t>공통</t>
        </is>
      </c>
      <c r="I4" s="2" t="inlineStr">
        <is>
          <t>미표기</t>
        </is>
      </c>
      <c r="J4" s="4" t="inlineStr"/>
      <c r="K4" s="4" t="n">
        <v>46288</v>
      </c>
      <c r="L4" s="4" t="n">
        <v>46303</v>
      </c>
      <c r="M4" s="2">
        <f>IF($L4="","미정",IF($L4&lt;TODAY(),"마감",IF($L4-TODAY()&lt;=7,"임박","진행중")))</f>
        <v/>
      </c>
      <c r="N4" s="4" t="inlineStr"/>
      <c r="O4" s="4" t="inlineStr"/>
      <c r="P4" s="4" t="inlineStr"/>
      <c r="Q4"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4" s="2" t="inlineStr"/>
      <c r="S4"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4" s="2" t="inlineStr"/>
      <c r="U4" s="5" t="inlineStr">
        <is>
          <t>https://www.icpa.or.kr/recruit</t>
        </is>
      </c>
      <c r="V4" s="2" t="inlineStr">
        <is>
          <t>https://job.alio.go.kr/recruitview.do?idx=305295</t>
        </is>
      </c>
      <c r="W4" s="2" t="inlineStr">
        <is>
          <t>공공데이터 오픈API(2026-09-24 수집)</t>
        </is>
      </c>
      <c r="X4"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4" s="2" t="inlineStr">
        <is>
          <t>305295</t>
        </is>
      </c>
      <c r="Z4" s="2" t="inlineStr">
        <is>
          <t>2026년 하반기 인천항만공사 채용형 인턴 채용공고</t>
        </is>
      </c>
    </row>
    <row r="5" ht="58" customHeight="1">
      <c r="A5" s="2" t="inlineStr"/>
      <c r="B5" s="2" t="inlineStr">
        <is>
          <t>확인필요</t>
        </is>
      </c>
      <c r="C5" s="2" t="inlineStr">
        <is>
          <t>한국수자원공사</t>
        </is>
      </c>
      <c r="D5" s="2" t="inlineStr">
        <is>
          <t>정규직</t>
        </is>
      </c>
      <c r="E5" s="2" t="inlineStr">
        <is>
          <t>시설;기계;전기;전자</t>
        </is>
      </c>
      <c r="F5" s="2" t="inlineStr">
        <is>
          <t>사업관리,건설,기계,화학,전기.전자,정보통신,환경.에너지.안전</t>
        </is>
      </c>
      <c r="G5" s="2" t="inlineStr">
        <is>
          <t>40</t>
        </is>
      </c>
      <c r="H5" s="3" t="inlineStr">
        <is>
          <t>재학생</t>
        </is>
      </c>
      <c r="I5" s="2" t="inlineStr">
        <is>
          <t>미표기</t>
        </is>
      </c>
      <c r="J5" s="4" t="inlineStr"/>
      <c r="K5" s="4" t="n">
        <v>46288</v>
      </c>
      <c r="L5" s="4" t="n">
        <v>46302</v>
      </c>
      <c r="M5" s="2">
        <f>IF($L5="","미정",IF($L5&lt;TODAY(),"마감",IF($L5-TODAY()&lt;=7,"임박","진행중")))</f>
        <v/>
      </c>
      <c r="N5" s="4" t="inlineStr"/>
      <c r="O5" s="4" t="inlineStr"/>
      <c r="P5" s="4" t="inlineStr"/>
      <c r="Q5"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5" s="2" t="inlineStr"/>
      <c r="S5"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5" s="2" t="inlineStr"/>
      <c r="U5" s="5" t="inlineStr">
        <is>
          <t>https://www.kwater.or.kr</t>
        </is>
      </c>
      <c r="V5" s="2" t="inlineStr">
        <is>
          <t>https://job.alio.go.kr/recruitview.do?idx=305296</t>
        </is>
      </c>
      <c r="W5" s="2" t="inlineStr">
        <is>
          <t>공공데이터 오픈API(2026-09-24 수집)</t>
        </is>
      </c>
      <c r="X5"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5" s="2" t="inlineStr">
        <is>
          <t>305296</t>
        </is>
      </c>
      <c r="Z5" s="2" t="inlineStr">
        <is>
          <t>[한국수자원공사] 2026년 하반기 시설운영직 고졸 신입사원 공채</t>
        </is>
      </c>
    </row>
    <row r="6" ht="58" customHeight="1">
      <c r="A6" s="2" t="inlineStr"/>
      <c r="B6" s="2" t="inlineStr">
        <is>
          <t>확인필요</t>
        </is>
      </c>
      <c r="C6" s="2" t="inlineStr">
        <is>
          <t>(주)한국가스기술공사</t>
        </is>
      </c>
      <c r="D6" s="2" t="inlineStr">
        <is>
          <t>정규직</t>
        </is>
      </c>
      <c r="E6" s="2" t="inlineStr">
        <is>
          <t>시설;기계;전기;전자</t>
        </is>
      </c>
      <c r="F6" s="2" t="inlineStr">
        <is>
          <t>건설,기계,전기.전자</t>
        </is>
      </c>
      <c r="G6" s="2" t="inlineStr">
        <is>
          <t>91</t>
        </is>
      </c>
      <c r="H6" s="2" t="inlineStr">
        <is>
          <t>확인필요</t>
        </is>
      </c>
      <c r="I6" s="2" t="inlineStr">
        <is>
          <t>미표기</t>
        </is>
      </c>
      <c r="J6" s="4" t="inlineStr"/>
      <c r="K6" s="4" t="n">
        <v>46286</v>
      </c>
      <c r="L6" s="4" t="n">
        <v>46301</v>
      </c>
      <c r="M6" s="2">
        <f>IF($L6="","미정",IF($L6&lt;TODAY(),"마감",IF($L6-TODAY()&lt;=7,"임박","진행중")))</f>
        <v/>
      </c>
      <c r="N6" s="4" t="inlineStr"/>
      <c r="O6" s="4" t="inlineStr"/>
      <c r="P6" s="4" t="inlineStr"/>
      <c r="Q6"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6" s="2" t="inlineStr"/>
      <c r="S6"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6" s="2" t="inlineStr"/>
      <c r="U6" s="5" t="inlineStr">
        <is>
          <t>https://kogas-tech.saramin.co.kr/</t>
        </is>
      </c>
      <c r="V6" s="2" t="inlineStr">
        <is>
          <t>https://job.alio.go.kr/recruitview.do?idx=305190</t>
        </is>
      </c>
      <c r="W6" s="2" t="inlineStr">
        <is>
          <t>공공데이터 오픈API(2026-09-22 수집)</t>
        </is>
      </c>
      <c r="X6"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6" s="2" t="inlineStr">
        <is>
          <t>305190</t>
        </is>
      </c>
      <c r="Z6" s="2" t="inlineStr">
        <is>
          <t>2026년 하반기 신입직원 공개채용</t>
        </is>
      </c>
    </row>
    <row r="7" ht="58" customHeight="1">
      <c r="A7" s="2" t="inlineStr"/>
      <c r="B7" s="2" t="inlineStr">
        <is>
          <t>확인필요</t>
        </is>
      </c>
      <c r="C7" s="2" t="inlineStr">
        <is>
          <t>한국조폐공사</t>
        </is>
      </c>
      <c r="D7" s="2" t="inlineStr">
        <is>
          <t>청년인턴(채용형)</t>
        </is>
      </c>
      <c r="E7" s="2" t="inlineStr">
        <is>
          <t>기계;전기;전자;시설</t>
        </is>
      </c>
      <c r="F7" s="2" t="inlineStr">
        <is>
          <t>사업관리,경영.회계.사무,문화.예술.디자인.방송,영업판매,기계,화학,전기.전자,정보통신,인쇄.목재.가구.공예,환경.에너지.안전,농림어업,연구</t>
        </is>
      </c>
      <c r="G7" s="2" t="inlineStr">
        <is>
          <t>57</t>
        </is>
      </c>
      <c r="H7" s="2" t="inlineStr">
        <is>
          <t>공통</t>
        </is>
      </c>
      <c r="I7" s="2" t="inlineStr">
        <is>
          <t>미표기</t>
        </is>
      </c>
      <c r="J7" s="4" t="inlineStr"/>
      <c r="K7" s="4" t="n">
        <v>46283</v>
      </c>
      <c r="L7" s="4" t="n">
        <v>46297</v>
      </c>
      <c r="M7" s="2">
        <f>IF($L7="","미정",IF($L7&lt;TODAY(),"마감",IF($L7-TODAY()&lt;=7,"임박","진행중")))</f>
        <v/>
      </c>
      <c r="N7" s="4" t="inlineStr"/>
      <c r="O7" s="4" t="inlineStr"/>
      <c r="P7" s="4" t="inlineStr"/>
      <c r="Q7"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7" s="2" t="inlineStr"/>
      <c r="S7"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7" s="2" t="inlineStr"/>
      <c r="U7" s="5" t="inlineStr">
        <is>
          <t>https://www.komsco.com/kor/88/recruitment/205?pageIndex=1&amp;searchCondition=&amp;searchKeyword=</t>
        </is>
      </c>
      <c r="V7" s="2" t="inlineStr">
        <is>
          <t>https://job.alio.go.kr/recruitview.do?idx=305144</t>
        </is>
      </c>
      <c r="W7" s="2" t="inlineStr">
        <is>
          <t>공공데이터 오픈API(2026-09-20 수집)</t>
        </is>
      </c>
      <c r="X7"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7" s="2" t="inlineStr">
        <is>
          <t>305144</t>
        </is>
      </c>
      <c r="Z7" s="2" t="inlineStr">
        <is>
          <t>2027년도 한국조폐공사 신입직원(채용형인턴) 채용공고</t>
        </is>
      </c>
    </row>
    <row r="8" ht="58" customHeight="1">
      <c r="A8" s="2" t="inlineStr"/>
      <c r="B8" s="2" t="inlineStr">
        <is>
          <t>확인필요</t>
        </is>
      </c>
      <c r="C8" s="2" t="inlineStr">
        <is>
          <t>한국식품산업클러스터진흥원</t>
        </is>
      </c>
      <c r="D8" s="2" t="inlineStr">
        <is>
          <t>정규직,무기계약직,비정규직</t>
        </is>
      </c>
      <c r="E8" s="2" t="inlineStr">
        <is>
          <t>기계;시설</t>
        </is>
      </c>
      <c r="F8" s="2" t="inlineStr">
        <is>
          <t>사업관리,경영.회계.사무,교육.자연.사회과학,운전.운송,건설,기계,화학,식품가공,환경.에너지.안전</t>
        </is>
      </c>
      <c r="G8" s="2" t="inlineStr">
        <is>
          <t>21</t>
        </is>
      </c>
      <c r="H8" s="2" t="inlineStr">
        <is>
          <t>확인필요</t>
        </is>
      </c>
      <c r="I8" s="2" t="inlineStr">
        <is>
          <t>미표기</t>
        </is>
      </c>
      <c r="J8" s="4" t="inlineStr"/>
      <c r="K8" s="4" t="n">
        <v>46283</v>
      </c>
      <c r="L8" s="4" t="n">
        <v>46297</v>
      </c>
      <c r="M8" s="2">
        <f>IF($L8="","미정",IF($L8&lt;TODAY(),"마감",IF($L8-TODAY()&lt;=7,"임박","진행중")))</f>
        <v/>
      </c>
      <c r="N8" s="4" t="inlineStr"/>
      <c r="O8" s="4" t="inlineStr"/>
      <c r="P8" s="4" t="inlineStr"/>
      <c r="Q8"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8" s="2" t="inlineStr"/>
      <c r="S8"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8" s="2" t="inlineStr"/>
      <c r="U8" s="5" t="inlineStr">
        <is>
          <t>https://www.foodpolis.kr/web/Board/4424/detailView.do?pageIndex=1&amp;menu=2307</t>
        </is>
      </c>
      <c r="V8" s="2" t="inlineStr">
        <is>
          <t>https://job.alio.go.kr/recruitview.do?idx=305142</t>
        </is>
      </c>
      <c r="W8" s="2" t="inlineStr">
        <is>
          <t>공공데이터 오픈API(2026-09-20 수집)</t>
        </is>
      </c>
      <c r="X8"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8" s="2" t="inlineStr">
        <is>
          <t>305142</t>
        </is>
      </c>
      <c r="Z8" s="2" t="inlineStr">
        <is>
          <t>한국식품산업클러스터진흥원 2026년 제4차 직원(정규직, 계약직) 채용 공고</t>
        </is>
      </c>
    </row>
    <row r="9" ht="58" customHeight="1">
      <c r="A9" s="2" t="inlineStr"/>
      <c r="B9" s="2" t="inlineStr">
        <is>
          <t>확인필요</t>
        </is>
      </c>
      <c r="C9" s="2" t="inlineStr">
        <is>
          <t>한국소비자원</t>
        </is>
      </c>
      <c r="D9" s="2" t="inlineStr">
        <is>
          <t>정규직,무기계약직,청년인턴(채용형)</t>
        </is>
      </c>
      <c r="E9" s="2" t="inlineStr">
        <is>
          <t>기계;전기;전자;시설</t>
        </is>
      </c>
      <c r="F9" s="2" t="inlineStr">
        <is>
          <t>경영.회계.사무,법률.경찰.소방.교도.국방,보건.의료,기계,화학,전기.전자,환경.에너지.안전,연구</t>
        </is>
      </c>
      <c r="G9" s="2" t="inlineStr">
        <is>
          <t>30</t>
        </is>
      </c>
      <c r="H9" s="3" t="inlineStr">
        <is>
          <t>재학생</t>
        </is>
      </c>
      <c r="I9" s="2" t="inlineStr">
        <is>
          <t>미표기</t>
        </is>
      </c>
      <c r="J9" s="4" t="inlineStr"/>
      <c r="K9" s="4" t="n">
        <v>46280</v>
      </c>
      <c r="L9" s="4" t="n">
        <v>46295</v>
      </c>
      <c r="M9" s="2">
        <f>IF($L9="","미정",IF($L9&lt;TODAY(),"마감",IF($L9-TODAY()&lt;=7,"임박","진행중")))</f>
        <v/>
      </c>
      <c r="N9" s="4" t="inlineStr"/>
      <c r="O9" s="4" t="inlineStr"/>
      <c r="P9" s="4" t="inlineStr"/>
      <c r="Q9"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9" s="2" t="inlineStr"/>
      <c r="S9"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9" s="2" t="inlineStr"/>
      <c r="U9" s="5" t="inlineStr">
        <is>
          <t>https://www.kca.go.kr/kca/sub.do?menukey=5113&amp;mode=view&amp;no=1004559980</t>
        </is>
      </c>
      <c r="V9" s="2" t="inlineStr">
        <is>
          <t>https://job.alio.go.kr/recruitview.do?idx=304989</t>
        </is>
      </c>
      <c r="W9" s="2" t="inlineStr">
        <is>
          <t>공공데이터 오픈API(2026-09-16 수집)</t>
        </is>
      </c>
      <c r="X9"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9" s="2" t="inlineStr">
        <is>
          <t>304989</t>
        </is>
      </c>
      <c r="Z9" s="2" t="inlineStr">
        <is>
          <t>2026년 한국소비자원 제2차 신입, 경력 및 공무직 채용 공고</t>
        </is>
      </c>
    </row>
    <row r="10" ht="58" customHeight="1">
      <c r="A10" s="2" t="inlineStr"/>
      <c r="B10" s="2" t="inlineStr">
        <is>
          <t>확인필요</t>
        </is>
      </c>
      <c r="C10" s="2" t="inlineStr">
        <is>
          <t>한국토지주택공사</t>
        </is>
      </c>
      <c r="D10" s="2" t="inlineStr">
        <is>
          <t>청년인턴(채용형)</t>
        </is>
      </c>
      <c r="E10" s="2" t="inlineStr">
        <is>
          <t>시설;기계;전기;전자</t>
        </is>
      </c>
      <c r="F10" s="2" t="inlineStr">
        <is>
          <t>사업관리,경영.회계.사무,법률.경찰.소방.교도.국방,사회복지.종교,문화.예술.디자인.방송,영업판매,건설,기계,화학,전기.전자,정보통신,환경.에너지.안전</t>
        </is>
      </c>
      <c r="G10" s="2" t="inlineStr">
        <is>
          <t>235</t>
        </is>
      </c>
      <c r="H10" s="2" t="inlineStr">
        <is>
          <t>공통</t>
        </is>
      </c>
      <c r="I10" s="2" t="inlineStr">
        <is>
          <t>미표기</t>
        </is>
      </c>
      <c r="J10" s="4" t="inlineStr"/>
      <c r="K10" s="4" t="n">
        <v>46280</v>
      </c>
      <c r="L10" s="4" t="n">
        <v>46294</v>
      </c>
      <c r="M10" s="2">
        <f>IF($L10="","미정",IF($L10&lt;TODAY(),"마감",IF($L10-TODAY()&lt;=7,"임박","진행중")))</f>
        <v/>
      </c>
      <c r="N10" s="4" t="inlineStr"/>
      <c r="O10" s="4" t="inlineStr"/>
      <c r="P10" s="4" t="inlineStr"/>
      <c r="Q10"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10" s="2" t="inlineStr"/>
      <c r="S10"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10" s="2" t="inlineStr"/>
      <c r="U10" s="5" t="inlineStr">
        <is>
          <t>https://www.lh.or.kr/board.es?mid=a10602060000&amp;bid=0053&amp;act=view&amp;list_no=734050&amp;tag=&amp;nPage=1</t>
        </is>
      </c>
      <c r="V10" s="2" t="inlineStr">
        <is>
          <t>https://job.alio.go.kr/recruitview.do?idx=304958</t>
        </is>
      </c>
      <c r="W10" s="2" t="inlineStr">
        <is>
          <t>공공데이터 오픈API(2026-09-16 수집)</t>
        </is>
      </c>
      <c r="X10"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10" s="2" t="inlineStr">
        <is>
          <t>304958</t>
        </is>
      </c>
      <c r="Z10" s="2" t="inlineStr">
        <is>
          <t>2026년 하반기 한국토지주택공사 신입사원(5·6급) 공채</t>
        </is>
      </c>
    </row>
    <row r="11" ht="58" customHeight="1">
      <c r="A11" s="2" t="inlineStr"/>
      <c r="B11" s="2" t="inlineStr">
        <is>
          <t>확인필요</t>
        </is>
      </c>
      <c r="C11" s="2" t="inlineStr">
        <is>
          <t>국토안전관리원</t>
        </is>
      </c>
      <c r="D11" s="2" t="inlineStr">
        <is>
          <t>정규직,청년인턴(채용형)</t>
        </is>
      </c>
      <c r="E11" s="2" t="inlineStr">
        <is>
          <t>기계;시설;전자</t>
        </is>
      </c>
      <c r="F11" s="2" t="inlineStr">
        <is>
          <t>사업관리,경영.회계.사무,교육.자연.사회과학,운전.운송,건설,정보통신</t>
        </is>
      </c>
      <c r="G11" s="2" t="inlineStr">
        <is>
          <t>18</t>
        </is>
      </c>
      <c r="H11" s="2" t="inlineStr">
        <is>
          <t>확인필요</t>
        </is>
      </c>
      <c r="I11" s="2" t="inlineStr">
        <is>
          <t>미표기</t>
        </is>
      </c>
      <c r="J11" s="4" t="inlineStr"/>
      <c r="K11" s="4" t="n">
        <v>46279</v>
      </c>
      <c r="L11" s="4" t="n">
        <v>46294</v>
      </c>
      <c r="M11" s="2">
        <f>IF($L11="","미정",IF($L11&lt;TODAY(),"마감",IF($L11-TODAY()&lt;=7,"임박","진행중")))</f>
        <v/>
      </c>
      <c r="N11" s="4" t="inlineStr"/>
      <c r="O11" s="4" t="inlineStr"/>
      <c r="P11" s="4" t="inlineStr"/>
      <c r="Q11"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11" s="2" t="inlineStr"/>
      <c r="S11"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11" s="2" t="inlineStr"/>
      <c r="U11" s="5" t="inlineStr">
        <is>
          <t>https://www.kalis.or.kr/www/brd/m_630/view.do?seq=321&amp;srchFr=&amp;srchTo=&amp;srchWord=&amp;srchTp=&amp;itm_seq_1=0&amp;itm_seq_2=0&amp;multi_itm_seq=0&amp;company_cd=&amp;company_nm=&amp;p_stat=&amp;p_itmseq1=&amp;diviTp=</t>
        </is>
      </c>
      <c r="V11" s="2" t="inlineStr">
        <is>
          <t>https://job.alio.go.kr/recruitview.do?idx=304933</t>
        </is>
      </c>
      <c r="W11" s="2" t="inlineStr">
        <is>
          <t>공공데이터 오픈API(2026-09-16 수집)</t>
        </is>
      </c>
      <c r="X11"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11" s="2" t="inlineStr">
        <is>
          <t>304933</t>
        </is>
      </c>
      <c r="Z11" s="2" t="inlineStr">
        <is>
          <t>2026년도 국토안전관리원 제2차 직무중심 채용 공고(일반직·전문직)</t>
        </is>
      </c>
    </row>
    <row r="12" ht="58" customHeight="1">
      <c r="A12" s="2" t="inlineStr"/>
      <c r="B12" s="2" t="inlineStr">
        <is>
          <t>확인필요</t>
        </is>
      </c>
      <c r="C12" s="2" t="inlineStr">
        <is>
          <t>국민건강보험공단</t>
        </is>
      </c>
      <c r="D12" s="2" t="inlineStr">
        <is>
          <t>정규직</t>
        </is>
      </c>
      <c r="E12" s="2" t="inlineStr">
        <is>
          <t>전자</t>
        </is>
      </c>
      <c r="F12" s="2" t="inlineStr">
        <is>
          <t>경영.회계.사무,보건.의료,사회복지.종교,이용.숙박.여행.오락.스포츠,정보통신</t>
        </is>
      </c>
      <c r="G12" s="2" t="inlineStr">
        <is>
          <t>374</t>
        </is>
      </c>
      <c r="H12" s="2" t="inlineStr">
        <is>
          <t>공통</t>
        </is>
      </c>
      <c r="I12" s="2" t="inlineStr">
        <is>
          <t>미표기</t>
        </is>
      </c>
      <c r="J12" s="4" t="inlineStr"/>
      <c r="K12" s="4" t="n">
        <v>46280</v>
      </c>
      <c r="L12" s="4" t="n">
        <v>46294</v>
      </c>
      <c r="M12" s="2">
        <f>IF($L12="","미정",IF($L12&lt;TODAY(),"마감",IF($L12-TODAY()&lt;=7,"임박","진행중")))</f>
        <v/>
      </c>
      <c r="N12" s="4" t="inlineStr"/>
      <c r="O12" s="4" t="inlineStr"/>
      <c r="P12" s="4" t="inlineStr"/>
      <c r="Q12"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2" s="2" t="inlineStr"/>
      <c r="S12"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2" s="2" t="inlineStr"/>
      <c r="U12" s="5" t="inlineStr">
        <is>
          <t>http://www.nhis.or.kr/nhis/together/wbhaea02700m01.do?mode=view&amp;articleNo=11013562&amp;article.offset=0&amp;articleLimit=10</t>
        </is>
      </c>
      <c r="V12" s="2" t="inlineStr">
        <is>
          <t>https://job.alio.go.kr/recruitview.do?idx=305006</t>
        </is>
      </c>
      <c r="W12" s="2" t="inlineStr">
        <is>
          <t>공공데이터 오픈API(2026-09-16 수집)</t>
        </is>
      </c>
      <c r="X12"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2" s="2" t="inlineStr">
        <is>
          <t>305006</t>
        </is>
      </c>
      <c r="Z12" s="2" t="inlineStr">
        <is>
          <t>2026년도 하반기 국민건강보험공단 신규직원 채용 공고</t>
        </is>
      </c>
    </row>
    <row r="13" ht="58" customHeight="1">
      <c r="A13" s="2" t="inlineStr"/>
      <c r="B13" s="2" t="inlineStr">
        <is>
          <t>확인필요</t>
        </is>
      </c>
      <c r="C13" s="2" t="inlineStr">
        <is>
          <t>한국남부발전(주)</t>
        </is>
      </c>
      <c r="D13" s="2" t="inlineStr">
        <is>
          <t>정규직</t>
        </is>
      </c>
      <c r="E13" s="2" t="inlineStr">
        <is>
          <t>시설;기계;전기;전자</t>
        </is>
      </c>
      <c r="F13" s="2" t="inlineStr">
        <is>
          <t>경영.회계.사무,음식서비스,건설,기계,화학,전기.전자,정보통신,환경.에너지.안전</t>
        </is>
      </c>
      <c r="G13" s="2" t="inlineStr">
        <is>
          <t>76</t>
        </is>
      </c>
      <c r="H13" s="2" t="inlineStr">
        <is>
          <t>공통</t>
        </is>
      </c>
      <c r="I13" s="2" t="inlineStr">
        <is>
          <t>미표기</t>
        </is>
      </c>
      <c r="J13" s="4" t="inlineStr"/>
      <c r="K13" s="4" t="n">
        <v>46276</v>
      </c>
      <c r="L13" s="4" t="n">
        <v>46293</v>
      </c>
      <c r="M13" s="2">
        <f>IF($L13="","미정",IF($L13&lt;TODAY(),"마감",IF($L13-TODAY()&lt;=7,"임박","진행중")))</f>
        <v/>
      </c>
      <c r="N13" s="4" t="inlineStr"/>
      <c r="O13" s="4" t="inlineStr"/>
      <c r="P13" s="4" t="inlineStr"/>
      <c r="Q13"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3" s="2" t="inlineStr"/>
      <c r="S13"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3" s="2" t="inlineStr"/>
      <c r="U13" s="5" t="inlineStr">
        <is>
          <t>https://kospo.machuda.kr</t>
        </is>
      </c>
      <c r="V13" s="2" t="inlineStr">
        <is>
          <t>https://job.alio.go.kr/recruitview.do?idx=304839</t>
        </is>
      </c>
      <c r="W13" s="2" t="inlineStr">
        <is>
          <t>공공데이터 오픈API(2026-09-11 수집)</t>
        </is>
      </c>
      <c r="X13"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3" s="2" t="inlineStr">
        <is>
          <t>304839</t>
        </is>
      </c>
      <c r="Z13" s="2" t="inlineStr">
        <is>
          <t>한국남부발전(주) 2026년 하반기 신입사원 및 별정직 채용공고</t>
        </is>
      </c>
    </row>
    <row r="14" ht="58" customHeight="1">
      <c r="A14" s="2" t="inlineStr"/>
      <c r="B14" s="2" t="inlineStr">
        <is>
          <t>확인필요</t>
        </is>
      </c>
      <c r="C14" s="2" t="inlineStr">
        <is>
          <t>한국가스안전공사</t>
        </is>
      </c>
      <c r="D14" s="2" t="inlineStr">
        <is>
          <t>정규직,청년인턴(채용형)</t>
        </is>
      </c>
      <c r="E14" s="2" t="inlineStr">
        <is>
          <t>기계;용접;전기;전자;시설</t>
        </is>
      </c>
      <c r="F14" s="2" t="inlineStr">
        <is>
          <t>사업관리,경영.회계.사무,법률.경찰.소방.교도.국방,기계,재료,화학,전기.전자,환경.에너지.안전,연구</t>
        </is>
      </c>
      <c r="G14" s="2" t="inlineStr">
        <is>
          <t>80</t>
        </is>
      </c>
      <c r="H14" s="2" t="inlineStr">
        <is>
          <t>확인필요</t>
        </is>
      </c>
      <c r="I14" s="2" t="inlineStr">
        <is>
          <t>미표기</t>
        </is>
      </c>
      <c r="J14" s="4" t="inlineStr"/>
      <c r="K14" s="4" t="n">
        <v>46274</v>
      </c>
      <c r="L14" s="4" t="n">
        <v>46293</v>
      </c>
      <c r="M14" s="2">
        <f>IF($L14="","미정",IF($L14&lt;TODAY(),"마감",IF($L14-TODAY()&lt;=7,"임박","진행중")))</f>
        <v/>
      </c>
      <c r="N14" s="4" t="inlineStr"/>
      <c r="O14" s="4" t="inlineStr"/>
      <c r="P14" s="4" t="inlineStr"/>
      <c r="Q14"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4" s="2" t="inlineStr"/>
      <c r="S14"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4" s="2" t="inlineStr"/>
      <c r="U14" s="5" t="inlineStr">
        <is>
          <t>https://kgs.saramin.co.kr/</t>
        </is>
      </c>
      <c r="V14" s="2" t="inlineStr">
        <is>
          <t>https://job.alio.go.kr/recruitview.do?idx=304810</t>
        </is>
      </c>
      <c r="W14" s="2" t="inlineStr">
        <is>
          <t>공공데이터 오픈API(2026-09-09 수집)</t>
        </is>
      </c>
      <c r="X14"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4" s="2" t="inlineStr">
        <is>
          <t>304810</t>
        </is>
      </c>
      <c r="Z14" s="2" t="inlineStr">
        <is>
          <t>2026년 하반기 한국가스안전공사 정규직(채용형인턴) 채용 공고</t>
        </is>
      </c>
    </row>
    <row r="15" ht="58" customHeight="1">
      <c r="A15" s="2" t="inlineStr"/>
      <c r="B15" s="2" t="inlineStr">
        <is>
          <t>확인필요</t>
        </is>
      </c>
      <c r="C15" s="2" t="inlineStr">
        <is>
          <t>국가생명윤리정책원</t>
        </is>
      </c>
      <c r="D15" s="2" t="inlineStr">
        <is>
          <t>정규직,비정규직</t>
        </is>
      </c>
      <c r="E15" s="2" t="inlineStr">
        <is>
          <t>전자</t>
        </is>
      </c>
      <c r="F15" s="2" t="inlineStr">
        <is>
          <t>사업관리,경영.회계.사무,교육.자연.사회과학,보건.의료,정보통신,연구</t>
        </is>
      </c>
      <c r="G15" s="2" t="inlineStr">
        <is>
          <t>8</t>
        </is>
      </c>
      <c r="H15" s="2" t="inlineStr">
        <is>
          <t>확인필요</t>
        </is>
      </c>
      <c r="I15" s="2" t="inlineStr">
        <is>
          <t>미표기</t>
        </is>
      </c>
      <c r="J15" s="4" t="inlineStr"/>
      <c r="K15" s="4" t="n">
        <v>46274</v>
      </c>
      <c r="L15" s="4" t="n">
        <v>46288</v>
      </c>
      <c r="M15" s="2">
        <f>IF($L15="","미정",IF($L15&lt;TODAY(),"마감",IF($L15-TODAY()&lt;=7,"임박","진행중")))</f>
        <v/>
      </c>
      <c r="N15" s="4" t="inlineStr"/>
      <c r="O15" s="4" t="inlineStr"/>
      <c r="P15" s="4" t="inlineStr"/>
      <c r="Q15"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5" s="2" t="inlineStr"/>
      <c r="S15"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5" s="2" t="inlineStr"/>
      <c r="U15" s="5" t="inlineStr">
        <is>
          <t>https://recruit.incruit.com/nibp/</t>
        </is>
      </c>
      <c r="V15" s="2" t="inlineStr">
        <is>
          <t>https://job.alio.go.kr/recruitview.do?idx=304793</t>
        </is>
      </c>
      <c r="W15" s="2" t="inlineStr">
        <is>
          <t>공공데이터 오픈API(2026-09-09 수집)</t>
        </is>
      </c>
      <c r="X15"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5" s="2" t="inlineStr">
        <is>
          <t>304793</t>
        </is>
      </c>
      <c r="Z15" s="2" t="inlineStr">
        <is>
          <t xml:space="preserve">제2026-3차 직원 채용 공고 </t>
        </is>
      </c>
    </row>
    <row r="16" ht="58" customHeight="1">
      <c r="A16" s="2" t="inlineStr"/>
      <c r="B16" s="2" t="inlineStr">
        <is>
          <t>확인필요</t>
        </is>
      </c>
      <c r="C16" s="2" t="inlineStr">
        <is>
          <t>한국전력기술주식회사</t>
        </is>
      </c>
      <c r="D16" s="2" t="inlineStr">
        <is>
          <t>정규직</t>
        </is>
      </c>
      <c r="E16" s="2" t="inlineStr">
        <is>
          <t>시설;기계;전기;전자</t>
        </is>
      </c>
      <c r="F16" s="2" t="inlineStr">
        <is>
          <t>사업관리,경영.회계.사무,문화.예술.디자인.방송,건설,기계,전기.전자,정보통신,환경.에너지.안전</t>
        </is>
      </c>
      <c r="G16" s="2" t="inlineStr">
        <is>
          <t>109</t>
        </is>
      </c>
      <c r="H16" s="2" t="inlineStr">
        <is>
          <t>확인필요</t>
        </is>
      </c>
      <c r="I16" s="2" t="inlineStr">
        <is>
          <t>미표기</t>
        </is>
      </c>
      <c r="J16" s="4" t="inlineStr"/>
      <c r="K16" s="4" t="n">
        <v>46272</v>
      </c>
      <c r="L16" s="4" t="n">
        <v>46287</v>
      </c>
      <c r="M16" s="2">
        <f>IF($L16="","미정",IF($L16&lt;TODAY(),"마감",IF($L16-TODAY()&lt;=7,"임박","진행중")))</f>
        <v/>
      </c>
      <c r="N16" s="4" t="inlineStr"/>
      <c r="O16" s="4" t="inlineStr"/>
      <c r="P16" s="4" t="inlineStr"/>
      <c r="Q16"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6" s="2" t="inlineStr"/>
      <c r="S16"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6" s="2" t="inlineStr"/>
      <c r="U16" s="5" t="inlineStr">
        <is>
          <t>https://kepco-enc.cairos.co.kr/kepco-enc/</t>
        </is>
      </c>
      <c r="V16" s="2" t="inlineStr">
        <is>
          <t>https://job.alio.go.kr/recruitview.do?idx=304717</t>
        </is>
      </c>
      <c r="W16" s="2" t="inlineStr">
        <is>
          <t>공공데이터 오픈API(2026-09-09 수집)</t>
        </is>
      </c>
      <c r="X16"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6" s="2" t="inlineStr">
        <is>
          <t>304717</t>
        </is>
      </c>
      <c r="Z16" s="2" t="inlineStr">
        <is>
          <t>2026년도 하반기 정규직(신입사원) 채용공고</t>
        </is>
      </c>
    </row>
    <row r="17" ht="58" customHeight="1">
      <c r="A17" s="2" t="inlineStr"/>
      <c r="B17" s="2" t="inlineStr">
        <is>
          <t>확인필요</t>
        </is>
      </c>
      <c r="C17" s="2" t="inlineStr">
        <is>
          <t>한국도로공사</t>
        </is>
      </c>
      <c r="D17" s="2" t="inlineStr">
        <is>
          <t>청년인턴(채용형)</t>
        </is>
      </c>
      <c r="E17" s="2" t="inlineStr">
        <is>
          <t>시설;기계;전기;전자</t>
        </is>
      </c>
      <c r="F17" s="2" t="inlineStr">
        <is>
          <t>경영.회계.사무,건설,기계,전기.전자,정보통신</t>
        </is>
      </c>
      <c r="G17" s="2" t="inlineStr">
        <is>
          <t>100</t>
        </is>
      </c>
      <c r="H17" s="3" t="inlineStr">
        <is>
          <t>재학생</t>
        </is>
      </c>
      <c r="I17" s="2" t="inlineStr">
        <is>
          <t>미표기</t>
        </is>
      </c>
      <c r="J17" s="4" t="inlineStr"/>
      <c r="K17" s="4" t="n">
        <v>46273</v>
      </c>
      <c r="L17" s="4" t="n">
        <v>46287</v>
      </c>
      <c r="M17" s="2">
        <f>IF($L17="","미정",IF($L17&lt;TODAY(),"마감",IF($L17-TODAY()&lt;=7,"임박","진행중")))</f>
        <v/>
      </c>
      <c r="N17" s="4" t="inlineStr"/>
      <c r="O17" s="4" t="inlineStr"/>
      <c r="P17" s="4" t="inlineStr"/>
      <c r="Q17"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7" s="2" t="inlineStr"/>
      <c r="S17"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7" s="2" t="inlineStr"/>
      <c r="U17" s="5" t="inlineStr">
        <is>
          <t>https://www.ex.co.kr</t>
        </is>
      </c>
      <c r="V17" s="2" t="inlineStr">
        <is>
          <t>https://job.alio.go.kr/recruitview.do?idx=304761</t>
        </is>
      </c>
      <c r="W17" s="2" t="inlineStr">
        <is>
          <t>공공데이터 오픈API(2026-09-09 수집)</t>
        </is>
      </c>
      <c r="X17"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7" s="2" t="inlineStr">
        <is>
          <t>304761</t>
        </is>
      </c>
      <c r="Z17" s="2" t="inlineStr">
        <is>
          <t>2026년 하반기 한국도로공사 일반직 신입(인턴)사원 채용 공고</t>
        </is>
      </c>
    </row>
    <row r="18" ht="58" customHeight="1">
      <c r="A18" s="2" t="inlineStr"/>
      <c r="B18" s="2" t="inlineStr">
        <is>
          <t>확인필요</t>
        </is>
      </c>
      <c r="C18" s="2" t="inlineStr">
        <is>
          <t>한국수목원정원관리원</t>
        </is>
      </c>
      <c r="D18" s="2" t="inlineStr">
        <is>
          <t>정규직,무기계약직</t>
        </is>
      </c>
      <c r="E18" s="2" t="inlineStr">
        <is>
          <t>전기;전자;시설</t>
        </is>
      </c>
      <c r="F18" s="2" t="inlineStr">
        <is>
          <t>사업관리,경영.회계.사무,교육.자연.사회과학,문화.예술.디자인.방송,이용.숙박.여행.오락.스포츠,전기.전자,정보통신,환경.에너지.안전,농림어업</t>
        </is>
      </c>
      <c r="G18" s="2" t="inlineStr">
        <is>
          <t>27</t>
        </is>
      </c>
      <c r="H18" s="2" t="inlineStr">
        <is>
          <t>확인필요</t>
        </is>
      </c>
      <c r="I18" s="6" t="inlineStr">
        <is>
          <t>필요</t>
        </is>
      </c>
      <c r="J18" s="4" t="inlineStr"/>
      <c r="K18" s="4" t="n">
        <v>46272</v>
      </c>
      <c r="L18" s="4" t="n">
        <v>46286</v>
      </c>
      <c r="M18" s="2">
        <f>IF($L18="","미정",IF($L18&lt;TODAY(),"마감",IF($L18-TODAY()&lt;=7,"임박","진행중")))</f>
        <v/>
      </c>
      <c r="N18" s="4" t="inlineStr"/>
      <c r="O18" s="4" t="inlineStr"/>
      <c r="P18" s="4" t="inlineStr"/>
      <c r="Q18"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8" s="2" t="inlineStr"/>
      <c r="S18"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8" s="2" t="inlineStr"/>
      <c r="U18" s="5" t="inlineStr">
        <is>
          <t>https://www.koagi.or.kr/www/user/bbs/BD_selectBbsList.do?q_bbsSn=1009</t>
        </is>
      </c>
      <c r="V18" s="2" t="inlineStr">
        <is>
          <t>https://job.alio.go.kr/recruitview.do?idx=304713</t>
        </is>
      </c>
      <c r="W18" s="2" t="inlineStr">
        <is>
          <t>공공데이터 오픈API(2026-09-09 수집)</t>
        </is>
      </c>
      <c r="X18"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8" s="2" t="inlineStr">
        <is>
          <t>304713</t>
        </is>
      </c>
      <c r="Z18" s="2" t="inlineStr">
        <is>
          <t>한국수목원정원관리원 2026년 제3차 신규직원 채용 공고</t>
        </is>
      </c>
    </row>
    <row r="19" ht="58" customHeight="1">
      <c r="A19" s="2" t="inlineStr"/>
      <c r="B19" s="2" t="inlineStr">
        <is>
          <t>확인필요</t>
        </is>
      </c>
      <c r="C19" s="2" t="inlineStr">
        <is>
          <t>한국산림복지진흥원</t>
        </is>
      </c>
      <c r="D19" s="2" t="inlineStr">
        <is>
          <t>정규직</t>
        </is>
      </c>
      <c r="E19" s="2" t="inlineStr">
        <is>
          <t>전기;전자;시설</t>
        </is>
      </c>
      <c r="F19" s="2" t="inlineStr">
        <is>
          <t>사업관리,경영.회계.사무,보건.의료,이용.숙박.여행.오락.스포츠,전기.전자,환경.에너지.안전,농림어업</t>
        </is>
      </c>
      <c r="G19" s="2" t="inlineStr">
        <is>
          <t>27</t>
        </is>
      </c>
      <c r="H19" s="2" t="inlineStr">
        <is>
          <t>졸업생</t>
        </is>
      </c>
      <c r="I19" s="2" t="inlineStr">
        <is>
          <t>미표기</t>
        </is>
      </c>
      <c r="J19" s="4" t="inlineStr"/>
      <c r="K19" s="4" t="n">
        <v>46268</v>
      </c>
      <c r="L19" s="4" t="n">
        <v>46286</v>
      </c>
      <c r="M19" s="2">
        <f>IF($L19="","미정",IF($L19&lt;TODAY(),"마감",IF($L19-TODAY()&lt;=7,"임박","진행중")))</f>
        <v/>
      </c>
      <c r="N19" s="4" t="inlineStr"/>
      <c r="O19" s="4" t="inlineStr"/>
      <c r="P19" s="4" t="inlineStr"/>
      <c r="Q19"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19" s="2" t="inlineStr"/>
      <c r="S19"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19" s="2" t="inlineStr"/>
      <c r="U19" s="5" t="inlineStr">
        <is>
          <t>https://fowi.or.kr/user/bbs/bbsView.do?bbsManageId=22&amp;bbsId=9165</t>
        </is>
      </c>
      <c r="V19" s="2" t="inlineStr">
        <is>
          <t>https://job.alio.go.kr/recruitview.do?idx=304612</t>
        </is>
      </c>
      <c r="W19" s="2" t="inlineStr">
        <is>
          <t>공공데이터 오픈API(2026-09-07 수집)</t>
        </is>
      </c>
      <c r="X19"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19" s="2" t="inlineStr">
        <is>
          <t>304612</t>
        </is>
      </c>
      <c r="Z19" s="2" t="inlineStr">
        <is>
          <t>2026년도 하반기 한국산림복지진흥원 정규직(5급, 6급) 채용 공고</t>
        </is>
      </c>
    </row>
    <row r="20" ht="58" customHeight="1">
      <c r="A20" s="2" t="inlineStr"/>
      <c r="B20" s="2" t="inlineStr">
        <is>
          <t>확인필요</t>
        </is>
      </c>
      <c r="C20" s="2" t="inlineStr">
        <is>
          <t>국민연금공단</t>
        </is>
      </c>
      <c r="D20" s="2" t="inlineStr">
        <is>
          <t>정규직</t>
        </is>
      </c>
      <c r="E20" s="2" t="inlineStr">
        <is>
          <t>전기;전자</t>
        </is>
      </c>
      <c r="F20" s="2" t="inlineStr">
        <is>
          <t>경영.회계.사무,보건.의료,사회복지.종교,전기.전자</t>
        </is>
      </c>
      <c r="G20" s="2" t="inlineStr">
        <is>
          <t>90</t>
        </is>
      </c>
      <c r="H20" s="2" t="inlineStr">
        <is>
          <t>확인필요</t>
        </is>
      </c>
      <c r="I20" s="2" t="inlineStr">
        <is>
          <t>미표기</t>
        </is>
      </c>
      <c r="J20" s="4" t="inlineStr"/>
      <c r="K20" s="4" t="n">
        <v>46269</v>
      </c>
      <c r="L20" s="4" t="n">
        <v>46283</v>
      </c>
      <c r="M20" s="2">
        <f>IF($L20="","미정",IF($L20&lt;TODAY(),"마감",IF($L20-TODAY()&lt;=7,"임박","진행중")))</f>
        <v/>
      </c>
      <c r="N20" s="4" t="inlineStr"/>
      <c r="O20" s="4" t="inlineStr"/>
      <c r="P20" s="4" t="inlineStr"/>
      <c r="Q20"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20" s="2" t="inlineStr"/>
      <c r="S20"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20" s="2" t="inlineStr"/>
      <c r="U20" s="5" t="inlineStr">
        <is>
          <t>https://www.nps.or.kr/pnsgdnc/hiregdnc/getOHAE0004M0List.do?menuId=MN24000969</t>
        </is>
      </c>
      <c r="V20" s="2" t="inlineStr">
        <is>
          <t>https://job.alio.go.kr/recruitview.do?idx=304656</t>
        </is>
      </c>
      <c r="W20" s="2" t="inlineStr">
        <is>
          <t>공공데이터 오픈API(2026-09-07 수집)</t>
        </is>
      </c>
      <c r="X20"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20" s="2" t="inlineStr">
        <is>
          <t>304656</t>
        </is>
      </c>
      <c r="Z20" s="2" t="inlineStr">
        <is>
          <t xml:space="preserve"> 2026년도 하반기 일반직 신입직원 공개채용 공고</t>
        </is>
      </c>
    </row>
    <row r="21" ht="58" customHeight="1">
      <c r="A21" s="2" t="inlineStr"/>
      <c r="B21" s="2" t="inlineStr">
        <is>
          <t>확인필요</t>
        </is>
      </c>
      <c r="C21" s="2" t="inlineStr">
        <is>
          <t>부산항만공사</t>
        </is>
      </c>
      <c r="D21" s="2" t="inlineStr">
        <is>
          <t>정규직</t>
        </is>
      </c>
      <c r="E21" s="2" t="inlineStr">
        <is>
          <t>시설</t>
        </is>
      </c>
      <c r="F21" s="2" t="inlineStr">
        <is>
          <t>경영.회계.사무,건설</t>
        </is>
      </c>
      <c r="G21" s="2" t="inlineStr">
        <is>
          <t>11</t>
        </is>
      </c>
      <c r="H21" s="3" t="inlineStr">
        <is>
          <t>재학생</t>
        </is>
      </c>
      <c r="I21" s="2" t="inlineStr">
        <is>
          <t>미표기</t>
        </is>
      </c>
      <c r="J21" s="4" t="inlineStr"/>
      <c r="K21" s="4" t="n">
        <v>46267</v>
      </c>
      <c r="L21" s="4" t="n">
        <v>46282</v>
      </c>
      <c r="M21" s="2">
        <f>IF($L21="","미정",IF($L21&lt;TODAY(),"마감",IF($L21-TODAY()&lt;=7,"임박","진행중")))</f>
        <v/>
      </c>
      <c r="N21" s="4" t="inlineStr"/>
      <c r="O21" s="4" t="inlineStr"/>
      <c r="P21" s="4" t="inlineStr"/>
      <c r="Q21"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21" s="2" t="inlineStr"/>
      <c r="S21"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21" s="2" t="inlineStr"/>
      <c r="U21" s="5" t="inlineStr">
        <is>
          <t>https://www.busanpa.com/board/list.bpa?boardId=BBS_0000046&amp;menuCd=DOM_000000107001001000&amp;contentsSid=47</t>
        </is>
      </c>
      <c r="V21" s="2" t="inlineStr">
        <is>
          <t>https://job.alio.go.kr/recruitview.do?idx=304555</t>
        </is>
      </c>
      <c r="W21" s="2" t="inlineStr">
        <is>
          <t>공공데이터 오픈API(2026-09-07 수집)</t>
        </is>
      </c>
      <c r="X21"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21" s="2" t="inlineStr">
        <is>
          <t>304555</t>
        </is>
      </c>
      <c r="Z21" s="2" t="inlineStr">
        <is>
          <t xml:space="preserve">부산항만공사 정규직(신입) 채용 공고 </t>
        </is>
      </c>
    </row>
    <row r="22" ht="58" customHeight="1">
      <c r="A22" s="2" t="inlineStr"/>
      <c r="B22" s="2" t="inlineStr">
        <is>
          <t>확인필요</t>
        </is>
      </c>
      <c r="C22" s="2" t="inlineStr">
        <is>
          <t>예금보험공사</t>
        </is>
      </c>
      <c r="D22" s="2" t="inlineStr">
        <is>
          <t>정규직</t>
        </is>
      </c>
      <c r="E22" s="2" t="inlineStr">
        <is>
          <t>전자</t>
        </is>
      </c>
      <c r="F22" s="2" t="inlineStr">
        <is>
          <t>경영.회계.사무,금융.보험,영업판매,정보통신</t>
        </is>
      </c>
      <c r="G22" s="2" t="inlineStr">
        <is>
          <t>35</t>
        </is>
      </c>
      <c r="H22" s="3" t="inlineStr">
        <is>
          <t>재학생</t>
        </is>
      </c>
      <c r="I22" s="6" t="inlineStr">
        <is>
          <t>필요</t>
        </is>
      </c>
      <c r="J22" s="4" t="inlineStr"/>
      <c r="K22" s="4" t="n">
        <v>46262</v>
      </c>
      <c r="L22" s="4" t="n">
        <v>46276</v>
      </c>
      <c r="M22" s="2">
        <f>IF($L22="","미정",IF($L22&lt;TODAY(),"마감",IF($L22-TODAY()&lt;=7,"임박","진행중")))</f>
        <v/>
      </c>
      <c r="N22" s="4" t="inlineStr"/>
      <c r="O22" s="4" t="inlineStr"/>
      <c r="P22" s="4" t="inlineStr"/>
      <c r="Q22"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2" s="2" t="inlineStr"/>
      <c r="S22"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2" s="2" t="inlineStr"/>
      <c r="U22" s="5" t="inlineStr">
        <is>
          <t>https://www.kdic.or.kr</t>
        </is>
      </c>
      <c r="V22" s="2" t="inlineStr">
        <is>
          <t>https://job.alio.go.kr/recruitview.do?idx=304400</t>
        </is>
      </c>
      <c r="W22" s="2" t="inlineStr">
        <is>
          <t>공공데이터 오픈API(2026-08-31 수집)</t>
        </is>
      </c>
      <c r="X22"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2" s="2" t="inlineStr">
        <is>
          <t>304400</t>
        </is>
      </c>
      <c r="Z22" s="2" t="inlineStr">
        <is>
          <t>2026년도 예금보험공사 신입직원 채용안내</t>
        </is>
      </c>
    </row>
    <row r="23" ht="58" customHeight="1">
      <c r="A23" s="2" t="inlineStr"/>
      <c r="B23" s="2" t="inlineStr">
        <is>
          <t>확인필요</t>
        </is>
      </c>
      <c r="C23" s="2" t="inlineStr">
        <is>
          <t>국립생태원</t>
        </is>
      </c>
      <c r="D23" s="2" t="inlineStr">
        <is>
          <t>무기계약직,청년인턴(채용형),정규직</t>
        </is>
      </c>
      <c r="E23" s="2" t="inlineStr">
        <is>
          <t>기계;전자;시설;사무</t>
        </is>
      </c>
      <c r="F23"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3" s="2" t="inlineStr">
        <is>
          <t>57명</t>
        </is>
      </c>
      <c r="H23" s="2" t="inlineStr">
        <is>
          <t>공통</t>
        </is>
      </c>
      <c r="I23" s="2" t="inlineStr">
        <is>
          <t>미표기</t>
        </is>
      </c>
      <c r="J23" s="4" t="inlineStr"/>
      <c r="K23" s="4" t="n">
        <v>46258</v>
      </c>
      <c r="L23" s="4" t="n">
        <v>46274</v>
      </c>
      <c r="M23" s="2">
        <f>IF($L23="","미정",IF($L23&lt;TODAY(),"마감",IF($L23-TODAY()&lt;=7,"임박","진행중")))</f>
        <v/>
      </c>
      <c r="N23" s="4" t="inlineStr"/>
      <c r="O23" s="4" t="inlineStr"/>
      <c r="P23" s="4" t="inlineStr"/>
      <c r="Q23"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3" s="2" t="inlineStr"/>
      <c r="S23"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3" s="2" t="inlineStr"/>
      <c r="U23" s="5" t="inlineStr">
        <is>
          <t>https://nie.careeron.co.kr/#/</t>
        </is>
      </c>
      <c r="V23" s="2" t="inlineStr">
        <is>
          <t>https://job.alio.go.kr/recruitview.do?idx=304226</t>
        </is>
      </c>
      <c r="W23" s="2" t="inlineStr">
        <is>
          <t>잡알리오(2026-08-26 수집)</t>
        </is>
      </c>
      <c r="X23"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3" s="2" t="inlineStr">
        <is>
          <t>304226</t>
        </is>
      </c>
      <c r="Z23" s="2" t="inlineStr"/>
    </row>
    <row r="24" ht="58" customHeight="1">
      <c r="A24" s="2" t="inlineStr"/>
      <c r="B24" s="2" t="inlineStr">
        <is>
          <t>확인필요</t>
        </is>
      </c>
      <c r="C24" s="2" t="inlineStr">
        <is>
          <t>한국산업기술시험원</t>
        </is>
      </c>
      <c r="D24" s="2" t="inlineStr">
        <is>
          <t>무기계약직,청년인턴(채용형),정규직</t>
        </is>
      </c>
      <c r="E24" s="2" t="inlineStr">
        <is>
          <t>기계;전기;전자;시설;사무</t>
        </is>
      </c>
      <c r="F24"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4" s="2" t="inlineStr">
        <is>
          <t>47명</t>
        </is>
      </c>
      <c r="H24" s="2" t="inlineStr">
        <is>
          <t>확인필요</t>
        </is>
      </c>
      <c r="I24" s="2" t="inlineStr">
        <is>
          <t>미표기</t>
        </is>
      </c>
      <c r="J24" s="4" t="inlineStr"/>
      <c r="K24" s="4" t="n">
        <v>46258</v>
      </c>
      <c r="L24" s="4" t="n">
        <v>46273</v>
      </c>
      <c r="M24" s="2">
        <f>IF($L24="","미정",IF($L24&lt;TODAY(),"마감",IF($L24-TODAY()&lt;=7,"임박","진행중")))</f>
        <v/>
      </c>
      <c r="N24" s="4" t="inlineStr"/>
      <c r="O24" s="4" t="inlineStr"/>
      <c r="P24" s="4" t="inlineStr"/>
      <c r="Q24"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4" s="2" t="inlineStr"/>
      <c r="S24" s="2" t="inlineStr">
        <is>
          <t>국가유공자, 장애인, 이전지역(경남·울산)인재, 저소득층, 북한이탈주민, 다문화가족, 자립준비청년, 시험원 체험형 청년인턴 수료자(수료일 : '24.9.8.~'26.9.8. 기간 내)</t>
        </is>
      </c>
      <c r="T24" s="2" t="inlineStr"/>
      <c r="U24" s="5" t="inlineStr">
        <is>
          <t>https://ktl2026.careerlink.kr/</t>
        </is>
      </c>
      <c r="V24" s="2" t="inlineStr">
        <is>
          <t>https://job.alio.go.kr/recruitview.do?idx=304192</t>
        </is>
      </c>
      <c r="W24" s="2" t="inlineStr">
        <is>
          <t>잡알리오(2026-08-26 수집)</t>
        </is>
      </c>
      <c r="X24"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4" s="2" t="inlineStr">
        <is>
          <t>304192</t>
        </is>
      </c>
      <c r="Z24" s="2" t="inlineStr"/>
    </row>
    <row r="25" ht="58" customHeight="1">
      <c r="A25" s="2" t="inlineStr"/>
      <c r="B25" s="2" t="inlineStr">
        <is>
          <t>확인필요</t>
        </is>
      </c>
      <c r="C25" s="2" t="inlineStr">
        <is>
          <t>한국산업단지공단</t>
        </is>
      </c>
      <c r="D25" s="2" t="inlineStr">
        <is>
          <t>정규직</t>
        </is>
      </c>
      <c r="E25" s="2" t="inlineStr">
        <is>
          <t>전기;사무</t>
        </is>
      </c>
      <c r="F25"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5" s="2" t="inlineStr">
        <is>
          <t>22명</t>
        </is>
      </c>
      <c r="H25" s="2" t="inlineStr">
        <is>
          <t>공통</t>
        </is>
      </c>
      <c r="I25" s="6" t="inlineStr">
        <is>
          <t>필요</t>
        </is>
      </c>
      <c r="J25" s="4" t="inlineStr"/>
      <c r="K25" s="4" t="n">
        <v>46254</v>
      </c>
      <c r="L25" s="4" t="n">
        <v>46268</v>
      </c>
      <c r="M25" s="2">
        <f>IF($L25="","미정",IF($L25&lt;TODAY(),"마감",IF($L25-TODAY()&lt;=7,"임박","진행중")))</f>
        <v/>
      </c>
      <c r="N25" s="4" t="inlineStr"/>
      <c r="O25" s="4" t="inlineStr"/>
      <c r="P25" s="4" t="inlineStr"/>
      <c r="Q25"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5" s="2" t="inlineStr"/>
      <c r="S25" s="2" t="inlineStr">
        <is>
          <t>취업지원대상자, 장애인, 국민기초생활수급자, 한부모가족, 북한이탈주민, 다문화가족, 경력단절 여성, 자립준비청년, 한국산업단지공단 청년인턴 * 보다 자세한 사항은 채용 공고문 참조</t>
        </is>
      </c>
      <c r="T25" s="2" t="inlineStr"/>
      <c r="U25" s="5" t="inlineStr">
        <is>
          <t>https://kicox.saramin.co.kr</t>
        </is>
      </c>
      <c r="V25" s="2" t="inlineStr">
        <is>
          <t>https://job.alio.go.kr/recruitview.do?idx=304044</t>
        </is>
      </c>
      <c r="W25" s="2" t="inlineStr">
        <is>
          <t>잡알리오(2026-08-26 수집)</t>
        </is>
      </c>
      <c r="X25"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5" s="2" t="inlineStr">
        <is>
          <t>304044</t>
        </is>
      </c>
      <c r="Z25" s="2" t="inlineStr"/>
    </row>
    <row r="26" ht="58" customHeight="1">
      <c r="A26" s="2" t="inlineStr"/>
      <c r="B26" s="2" t="inlineStr">
        <is>
          <t>확인필요</t>
        </is>
      </c>
      <c r="C26" s="2" t="inlineStr">
        <is>
          <t>서울대학교병원</t>
        </is>
      </c>
      <c r="D26" s="2" t="inlineStr">
        <is>
          <t>정규직</t>
        </is>
      </c>
      <c r="E26" s="2" t="inlineStr">
        <is>
          <t>기계;시설;사무</t>
        </is>
      </c>
      <c r="F26"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6" s="2" t="inlineStr">
        <is>
          <t>96명</t>
        </is>
      </c>
      <c r="H26" s="2" t="inlineStr">
        <is>
          <t>공통</t>
        </is>
      </c>
      <c r="I26" s="2" t="inlineStr">
        <is>
          <t>미표기</t>
        </is>
      </c>
      <c r="J26" s="4" t="inlineStr"/>
      <c r="K26" s="4" t="n">
        <v>46253</v>
      </c>
      <c r="L26" s="4" t="n">
        <v>46267</v>
      </c>
      <c r="M26" s="2">
        <f>IF($L26="","미정",IF($L26&lt;TODAY(),"마감",IF($L26-TODAY()&lt;=7,"임박","진행중")))</f>
        <v/>
      </c>
      <c r="N26" s="4" t="inlineStr"/>
      <c r="O26" s="4" t="inlineStr"/>
      <c r="P26" s="4" t="inlineStr"/>
      <c r="Q26"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6" s="2" t="inlineStr"/>
      <c r="S26" s="2" t="inlineStr">
        <is>
          <t>취업지원대상자, 장애인, 본원 체험형 인턴 우수자</t>
        </is>
      </c>
      <c r="T26" s="2" t="inlineStr"/>
      <c r="U26" s="5" t="inlineStr">
        <is>
          <t>https://recruit.snuh.org/joining/recruit/view.do?notice_type=E&amp;recruit_id=26110</t>
        </is>
      </c>
      <c r="V26" s="2" t="inlineStr">
        <is>
          <t>https://job.alio.go.kr/recruitview.do?idx=304035</t>
        </is>
      </c>
      <c r="W26" s="2" t="inlineStr">
        <is>
          <t>잡알리오(2026-08-26 수집)</t>
        </is>
      </c>
      <c r="X26"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6" s="2" t="inlineStr">
        <is>
          <t>304035</t>
        </is>
      </c>
      <c r="Z26" s="2" t="inlineStr"/>
    </row>
    <row r="27" ht="58" customHeight="1">
      <c r="A27" s="2" t="inlineStr"/>
      <c r="B27" s="2" t="inlineStr">
        <is>
          <t>확인필요</t>
        </is>
      </c>
      <c r="C27" s="2" t="inlineStr">
        <is>
          <t>한국석유공사</t>
        </is>
      </c>
      <c r="D27" s="2" t="inlineStr">
        <is>
          <t>정규직</t>
        </is>
      </c>
      <c r="E27" s="2" t="inlineStr">
        <is>
          <t>기계;전기;사무</t>
        </is>
      </c>
      <c r="F27" s="2" t="inlineStr">
        <is>
          <t>사무/경영, 기술/기계, 기술/전기</t>
        </is>
      </c>
      <c r="G27" s="2" t="inlineStr">
        <is>
          <t>11명</t>
        </is>
      </c>
      <c r="H27" s="2" t="inlineStr">
        <is>
          <t>공통</t>
        </is>
      </c>
      <c r="I27" s="2" t="inlineStr">
        <is>
          <t>미표기</t>
        </is>
      </c>
      <c r="J27" s="4" t="inlineStr"/>
      <c r="K27" s="4" t="n">
        <v>46247</v>
      </c>
      <c r="L27" s="4" t="n">
        <v>46262</v>
      </c>
      <c r="M27" s="2">
        <f>IF($L27="","미정",IF($L27&lt;TODAY(),"마감",IF($L27-TODAY()&lt;=7,"임박","진행중")))</f>
        <v/>
      </c>
      <c r="N27" s="4" t="inlineStr"/>
      <c r="O27" s="4" t="inlineStr"/>
      <c r="P27" s="4" t="inlineStr"/>
      <c r="Q27"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7" s="2" t="inlineStr"/>
      <c r="S27"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7" s="2" t="inlineStr"/>
      <c r="U27" s="5" t="inlineStr">
        <is>
          <t>https://knoc.recruitlab.co.kr/</t>
        </is>
      </c>
      <c r="V27" s="2" t="inlineStr">
        <is>
          <t>https://job.alio.go.kr/recruitview.do?idx=303892</t>
        </is>
      </c>
      <c r="W27" s="2" t="inlineStr">
        <is>
          <t>잡알리오(2026-08-27 수집)</t>
        </is>
      </c>
      <c r="X27"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7" s="2" t="inlineStr">
        <is>
          <t>303892</t>
        </is>
      </c>
      <c r="Z27" s="2" t="inlineStr"/>
    </row>
    <row r="28" ht="58" customHeight="1">
      <c r="A28" s="2" t="inlineStr"/>
      <c r="B28" s="2" t="inlineStr">
        <is>
          <t>확인필요</t>
        </is>
      </c>
      <c r="C28" s="2" t="inlineStr">
        <is>
          <t>한국산업안전보건공단</t>
        </is>
      </c>
      <c r="D28" s="2" t="inlineStr">
        <is>
          <t>정규직</t>
        </is>
      </c>
      <c r="E28" s="2" t="inlineStr">
        <is>
          <t>기계;전기;시설;사무</t>
        </is>
      </c>
      <c r="F28"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8" s="2" t="inlineStr">
        <is>
          <t>20명</t>
        </is>
      </c>
      <c r="H28" s="2" t="inlineStr">
        <is>
          <t>공통</t>
        </is>
      </c>
      <c r="I28" s="2" t="inlineStr">
        <is>
          <t>미표기</t>
        </is>
      </c>
      <c r="J28" s="4" t="inlineStr"/>
      <c r="K28" s="4" t="n">
        <v>46240</v>
      </c>
      <c r="L28" s="4" t="n">
        <v>46258</v>
      </c>
      <c r="M28" s="2">
        <f>IF($L28="","미정",IF($L28&lt;TODAY(),"마감",IF($L28-TODAY()&lt;=7,"임박","진행중")))</f>
        <v/>
      </c>
      <c r="N28" s="4" t="inlineStr"/>
      <c r="O28" s="4" t="inlineStr"/>
      <c r="P28" s="4" t="inlineStr"/>
      <c r="Q28"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8" s="2" t="inlineStr"/>
      <c r="S28" s="2" t="inlineStr">
        <is>
          <t>취업지원대상자, 장애인, 국민기초생활수급자, 한부모가족, 북한이탈주민, 다문화가족, 자립준비청년, '25년도 공단 체험형 인턴 수료자 ※ 보다 자세한 사항은 첨부파일의 채용공고문 참조</t>
        </is>
      </c>
      <c r="T28" s="2" t="inlineStr"/>
      <c r="U28" s="5" t="inlineStr">
        <is>
          <t>https://kosha.or.kr/notification/jobncontract/job/jobdata?bbsId=B2025021400005&amp;pstNo=202608060856579OQYZ6</t>
        </is>
      </c>
      <c r="V28" s="2" t="inlineStr">
        <is>
          <t>https://job.alio.go.kr/recruitview.do?idx=303583</t>
        </is>
      </c>
      <c r="W28" s="2" t="inlineStr">
        <is>
          <t>잡알리오(2026-08-26 수집)</t>
        </is>
      </c>
      <c r="X28"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8" s="2" t="inlineStr">
        <is>
          <t>303583</t>
        </is>
      </c>
      <c r="Z28" s="2" t="inlineStr"/>
    </row>
    <row r="29" ht="58" customHeight="1">
      <c r="A29" s="2" t="inlineStr"/>
      <c r="B29" s="2" t="inlineStr">
        <is>
          <t>확인필요</t>
        </is>
      </c>
      <c r="C29" s="2" t="inlineStr">
        <is>
          <t>한국광해광업공단</t>
        </is>
      </c>
      <c r="D29" s="2" t="inlineStr">
        <is>
          <t>청년인턴(체험형),청년인턴(채용형)</t>
        </is>
      </c>
      <c r="E29" s="2" t="inlineStr">
        <is>
          <t>시설;사무</t>
        </is>
      </c>
      <c r="F29"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29" s="2" t="inlineStr">
        <is>
          <t>40명</t>
        </is>
      </c>
      <c r="H29" s="3" t="inlineStr">
        <is>
          <t>재학생</t>
        </is>
      </c>
      <c r="I29" s="2" t="inlineStr">
        <is>
          <t>미표기</t>
        </is>
      </c>
      <c r="J29" s="4" t="inlineStr"/>
      <c r="K29" s="4" t="n">
        <v>46242</v>
      </c>
      <c r="L29" s="4" t="n">
        <v>46258</v>
      </c>
      <c r="M29" s="2">
        <f>IF($L29="","미정",IF($L29&lt;TODAY(),"마감",IF($L29-TODAY()&lt;=7,"임박","진행중")))</f>
        <v/>
      </c>
      <c r="N29" s="4" t="inlineStr"/>
      <c r="O29" s="4" t="inlineStr"/>
      <c r="P29" s="4" t="inlineStr"/>
      <c r="Q29"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29" s="2" t="inlineStr"/>
      <c r="S29" s="2" t="inlineStr">
        <is>
          <t>장애인, 취업지원대상자, 청년, 자립준비청년, 저소득층, 북한이탈주민, 경력단절여성, 공단 근로경력자(1년 이상)</t>
        </is>
      </c>
      <c r="T29" s="2" t="inlineStr"/>
      <c r="U29" s="5" t="inlineStr">
        <is>
          <t>https://komir.saramin.co.kr</t>
        </is>
      </c>
      <c r="V29" s="2" t="inlineStr">
        <is>
          <t>https://job.alio.go.kr/recruitview.do?idx=303653</t>
        </is>
      </c>
      <c r="W29" s="2" t="inlineStr">
        <is>
          <t>잡알리오(2026-08-26 수집)</t>
        </is>
      </c>
      <c r="X29"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29" s="2" t="inlineStr">
        <is>
          <t>303653</t>
        </is>
      </c>
      <c r="Z29" s="2" t="inlineStr"/>
    </row>
    <row r="30" ht="58" customHeight="1">
      <c r="A30" s="2" t="inlineStr"/>
      <c r="B30" s="2" t="inlineStr">
        <is>
          <t>확인필요</t>
        </is>
      </c>
      <c r="C30" s="2" t="inlineStr">
        <is>
          <t>한국철도공사</t>
        </is>
      </c>
      <c r="D30" s="2" t="inlineStr">
        <is>
          <t>청년인턴(채용형),정규직</t>
        </is>
      </c>
      <c r="E30" s="2" t="inlineStr">
        <is>
          <t>기계;전기;전자;시설;사무</t>
        </is>
      </c>
      <c r="F30"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30" s="2" t="inlineStr">
        <is>
          <t>600명</t>
        </is>
      </c>
      <c r="H30" s="2" t="inlineStr">
        <is>
          <t>공통</t>
        </is>
      </c>
      <c r="I30" s="6" t="inlineStr">
        <is>
          <t>필요</t>
        </is>
      </c>
      <c r="J30" s="4" t="inlineStr"/>
      <c r="K30" s="4" t="n">
        <v>46241</v>
      </c>
      <c r="L30" s="4" t="n">
        <v>46255</v>
      </c>
      <c r="M30" s="2">
        <f>IF($L30="","미정",IF($L30&lt;TODAY(),"마감",IF($L30-TODAY()&lt;=7,"임박","진행중")))</f>
        <v/>
      </c>
      <c r="N30" s="4" t="inlineStr"/>
      <c r="O30" s="4" t="inlineStr"/>
      <c r="P30" s="4" t="inlineStr"/>
      <c r="Q30"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30" s="2" t="inlineStr"/>
      <c r="S30"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30" s="2" t="inlineStr"/>
      <c r="U30" s="5" t="inlineStr">
        <is>
          <t>https://info.korail.com</t>
        </is>
      </c>
      <c r="V30" s="2" t="inlineStr">
        <is>
          <t>https://job.alio.go.kr/recruitview.do?idx=303642</t>
        </is>
      </c>
      <c r="W30" s="2" t="inlineStr">
        <is>
          <t>잡알리오(2026-08-26 수집)</t>
        </is>
      </c>
      <c r="X30"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30" s="2" t="inlineStr">
        <is>
          <t>303642</t>
        </is>
      </c>
      <c r="Z30" s="2" t="inlineStr"/>
    </row>
    <row r="31" ht="58" customHeight="1">
      <c r="A31" s="2" t="inlineStr"/>
      <c r="B31" s="2" t="inlineStr">
        <is>
          <t>확인필요</t>
        </is>
      </c>
      <c r="C31" s="2" t="inlineStr">
        <is>
          <t>한국남동발전(주)</t>
        </is>
      </c>
      <c r="D31" s="2" t="inlineStr">
        <is>
          <t>정규직</t>
        </is>
      </c>
      <c r="E31" s="2" t="inlineStr">
        <is>
          <t>기계;전기</t>
        </is>
      </c>
      <c r="F31" s="2" t="inlineStr">
        <is>
          <t>대졸수준 신입 일반전형-화학, 고졸수준 신입 일반전형-기계, 고졸수준 신입 일반전형-전기, 고졸수준 신입 일반전형-화학</t>
        </is>
      </c>
      <c r="G31" s="2" t="inlineStr">
        <is>
          <t>30명</t>
        </is>
      </c>
      <c r="H31" s="2" t="inlineStr">
        <is>
          <t>공통</t>
        </is>
      </c>
      <c r="I31" s="2" t="inlineStr">
        <is>
          <t>미표기</t>
        </is>
      </c>
      <c r="J31" s="4" t="inlineStr"/>
      <c r="K31" s="4" t="n">
        <v>46237</v>
      </c>
      <c r="L31" s="4" t="n">
        <v>46252</v>
      </c>
      <c r="M31" s="2">
        <f>IF($L31="","미정",IF($L31&lt;TODAY(),"마감",IF($L31-TODAY()&lt;=7,"임박","진행중")))</f>
        <v/>
      </c>
      <c r="N31" s="4" t="inlineStr"/>
      <c r="O31" s="4" t="inlineStr"/>
      <c r="P31" s="4" t="inlineStr"/>
      <c r="Q31"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31" s="2" t="inlineStr"/>
      <c r="S31" s="2" t="inlineStr">
        <is>
          <t>취업지원대상자, 장애인, 저소득층, 다문화가정, 자립준비청년, 발전소 주변지역주민, 북한이탈주민, 시간선택제 근로자(당사 재직자), 체험형인턴 우수자 등</t>
        </is>
      </c>
      <c r="T31" s="2" t="inlineStr"/>
      <c r="U31" s="5" t="inlineStr">
        <is>
          <t>https://koenergy.saramin.co.kr</t>
        </is>
      </c>
      <c r="V31" s="2" t="inlineStr">
        <is>
          <t>https://job.alio.go.kr/recruitview.do?idx=303429</t>
        </is>
      </c>
      <c r="W31" s="2" t="inlineStr">
        <is>
          <t>잡알리오(2026-08-26 수집)</t>
        </is>
      </c>
      <c r="X31"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31" s="2" t="inlineStr">
        <is>
          <t>303429</t>
        </is>
      </c>
      <c r="Z31" s="2" t="inlineStr"/>
    </row>
    <row r="32" ht="58" customHeight="1">
      <c r="A32" s="2" t="inlineStr"/>
      <c r="B32" s="2" t="inlineStr">
        <is>
          <t>확인필요</t>
        </is>
      </c>
      <c r="C32" s="2" t="inlineStr">
        <is>
          <t>한국가스공사</t>
        </is>
      </c>
      <c r="D32" s="2" t="inlineStr">
        <is>
          <t>청년인턴(채용형)</t>
        </is>
      </c>
      <c r="E32" s="2" t="inlineStr">
        <is>
          <t>기계;전기;시설</t>
        </is>
      </c>
      <c r="F32" s="2" t="inlineStr">
        <is>
          <t>채용형 인턴(7급) - 기계, 채용형 인턴(7급) - 전기, 채용형 인턴(7급) - 화공</t>
        </is>
      </c>
      <c r="G32" s="2" t="inlineStr">
        <is>
          <t>20명</t>
        </is>
      </c>
      <c r="H32" s="2" t="inlineStr">
        <is>
          <t>확인필요</t>
        </is>
      </c>
      <c r="I32" s="2" t="inlineStr">
        <is>
          <t>미표기</t>
        </is>
      </c>
      <c r="J32" s="4" t="inlineStr"/>
      <c r="K32" s="4" t="n">
        <v>46234</v>
      </c>
      <c r="L32" s="4" t="n">
        <v>46248</v>
      </c>
      <c r="M32" s="2">
        <f>IF($L32="","미정",IF($L32&lt;TODAY(),"마감",IF($L32-TODAY()&lt;=7,"임박","진행중")))</f>
        <v/>
      </c>
      <c r="N32" s="4" t="inlineStr"/>
      <c r="O32" s="4" t="inlineStr"/>
      <c r="P32" s="4" t="inlineStr"/>
      <c r="Q32"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2" s="2" t="inlineStr"/>
      <c r="S32" s="2" t="inlineStr">
        <is>
          <t>하단 우대 내용 참조</t>
        </is>
      </c>
      <c r="T32" s="2" t="inlineStr"/>
      <c r="U32" s="5" t="inlineStr">
        <is>
          <t>https://www.kogas.or.kr</t>
        </is>
      </c>
      <c r="V32" s="2" t="inlineStr">
        <is>
          <t>https://job.alio.go.kr/recruitview.do?idx=303318</t>
        </is>
      </c>
      <c r="W32" s="2" t="inlineStr">
        <is>
          <t>잡알리오(2026-08-27 수집)</t>
        </is>
      </c>
      <c r="X32"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2" s="2" t="inlineStr">
        <is>
          <t>303318</t>
        </is>
      </c>
      <c r="Z32" s="2" t="inlineStr"/>
    </row>
    <row r="33" ht="58" customHeight="1">
      <c r="A33" s="2" t="inlineStr"/>
      <c r="B33" s="2" t="inlineStr">
        <is>
          <t>확인필요</t>
        </is>
      </c>
      <c r="C33" s="2" t="inlineStr">
        <is>
          <t>한국산업인력공단</t>
        </is>
      </c>
      <c r="D33" s="2" t="inlineStr">
        <is>
          <t>정규직</t>
        </is>
      </c>
      <c r="E33" s="2" t="inlineStr">
        <is>
          <t>시설;사무</t>
        </is>
      </c>
      <c r="F33"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3" s="2" t="inlineStr">
        <is>
          <t>40명</t>
        </is>
      </c>
      <c r="H33" s="2" t="inlineStr">
        <is>
          <t>공통</t>
        </is>
      </c>
      <c r="I33" s="2" t="inlineStr">
        <is>
          <t>미표기</t>
        </is>
      </c>
      <c r="J33" s="4" t="inlineStr"/>
      <c r="K33" s="4" t="n">
        <v>46232</v>
      </c>
      <c r="L33" s="4" t="n">
        <v>46247</v>
      </c>
      <c r="M33" s="2">
        <f>IF($L33="","미정",IF($L33&lt;TODAY(),"마감",IF($L33-TODAY()&lt;=7,"임박","진행중")))</f>
        <v/>
      </c>
      <c r="N33" s="4" t="inlineStr"/>
      <c r="O33" s="4" t="inlineStr"/>
      <c r="P33" s="4" t="inlineStr"/>
      <c r="Q33"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3" s="2" t="inlineStr"/>
      <c r="S33" s="2" t="inlineStr">
        <is>
          <t>장애인, 취업지원대상자, 국민기초생활수급자, 한부모가족, 자립준비청년, 북한이탈주민, 다문화가족, 우리 공단 청년인턴, 우리 공단 정규직 재직직원 ※ 자세한 사항은 첨부파일 참조</t>
        </is>
      </c>
      <c r="T33" s="2" t="inlineStr"/>
      <c r="U33" s="5" t="inlineStr">
        <is>
          <t>https://www.hrdkorea.or.kr/3/1/2/2</t>
        </is>
      </c>
      <c r="V33" s="2" t="inlineStr">
        <is>
          <t>https://job.alio.go.kr/recruitview.do?idx=303146</t>
        </is>
      </c>
      <c r="W33" s="2" t="inlineStr">
        <is>
          <t>잡알리오(2026-08-26 수집)</t>
        </is>
      </c>
      <c r="X33"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3" s="2" t="inlineStr">
        <is>
          <t>303146</t>
        </is>
      </c>
      <c r="Z33" s="2" t="inlineStr"/>
    </row>
    <row r="34" ht="58" customHeight="1">
      <c r="A34" s="2" t="inlineStr"/>
      <c r="B34" s="2" t="inlineStr">
        <is>
          <t>확인필요</t>
        </is>
      </c>
      <c r="C34" s="2" t="inlineStr">
        <is>
          <t>한국수력원자력(주)</t>
        </is>
      </c>
      <c r="D34" s="2" t="inlineStr">
        <is>
          <t>정규직</t>
        </is>
      </c>
      <c r="E34" s="2" t="inlineStr">
        <is>
          <t>기계;전기;전자</t>
        </is>
      </c>
      <c r="F34" s="2" t="inlineStr">
        <is>
          <t>재학생(기계), 재학생(전기전자), 졸업생(기계), 졸업생(전기전자)</t>
        </is>
      </c>
      <c r="G34" s="2" t="inlineStr">
        <is>
          <t>32명</t>
        </is>
      </c>
      <c r="H34" s="3" t="inlineStr">
        <is>
          <t>재학생</t>
        </is>
      </c>
      <c r="I34" s="2" t="inlineStr">
        <is>
          <t>미표기</t>
        </is>
      </c>
      <c r="J34" s="4" t="inlineStr"/>
      <c r="K34" s="4" t="n">
        <v>46226</v>
      </c>
      <c r="L34" s="4" t="n">
        <v>46241</v>
      </c>
      <c r="M34" s="2">
        <f>IF($L34="","미정",IF($L34&lt;TODAY(),"마감",IF($L34-TODAY()&lt;=7,"임박","진행중")))</f>
        <v/>
      </c>
      <c r="N34" s="4" t="inlineStr"/>
      <c r="O34" s="4" t="inlineStr"/>
      <c r="P34" s="4" t="inlineStr"/>
      <c r="Q34"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4" s="2" t="inlineStr"/>
      <c r="S34"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4" s="2" t="inlineStr"/>
      <c r="U34" s="5" t="inlineStr">
        <is>
          <t>https://www.khnp.co.kr/recruit</t>
        </is>
      </c>
      <c r="V34" s="2" t="inlineStr">
        <is>
          <t>https://job.alio.go.kr/recruitview.do?idx=302994</t>
        </is>
      </c>
      <c r="W34" s="2" t="inlineStr">
        <is>
          <t>잡알리오(2026-08-27 수집)</t>
        </is>
      </c>
      <c r="X34"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4" s="2" t="inlineStr">
        <is>
          <t>302994</t>
        </is>
      </c>
      <c r="Z34" s="2" t="inlineStr"/>
    </row>
    <row r="35" ht="58" customHeight="1">
      <c r="A35" s="2" t="inlineStr"/>
      <c r="B35" s="2" t="inlineStr">
        <is>
          <t>확인필요</t>
        </is>
      </c>
      <c r="C35" s="2" t="inlineStr">
        <is>
          <t>한국수력원자력(주)</t>
        </is>
      </c>
      <c r="D35" s="2" t="inlineStr">
        <is>
          <t>정규직</t>
        </is>
      </c>
      <c r="E35" s="2" t="inlineStr">
        <is>
          <t>기계;전기;전자;시설;사무</t>
        </is>
      </c>
      <c r="F35"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5" s="2" t="inlineStr">
        <is>
          <t>229명</t>
        </is>
      </c>
      <c r="H35" s="2" t="inlineStr">
        <is>
          <t>확인필요</t>
        </is>
      </c>
      <c r="I35" s="2" t="inlineStr">
        <is>
          <t>미표기</t>
        </is>
      </c>
      <c r="J35" s="4" t="inlineStr"/>
      <c r="K35" s="4" t="n">
        <v>46225</v>
      </c>
      <c r="L35" s="4" t="n">
        <v>46240</v>
      </c>
      <c r="M35" s="2">
        <f>IF($L35="","미정",IF($L35&lt;TODAY(),"마감",IF($L35-TODAY()&lt;=7,"임박","진행중")))</f>
        <v/>
      </c>
      <c r="N35" s="4" t="inlineStr"/>
      <c r="O35" s="4" t="inlineStr"/>
      <c r="P35" s="4" t="inlineStr"/>
      <c r="Q35"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5" s="2" t="inlineStr"/>
      <c r="S35"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5" s="2" t="inlineStr"/>
      <c r="U35" s="5" t="inlineStr">
        <is>
          <t>https://www.khnp.co.kr/recruit</t>
        </is>
      </c>
      <c r="V35" s="2" t="inlineStr">
        <is>
          <t>https://job.alio.go.kr/recruitview.do?idx=302968</t>
        </is>
      </c>
      <c r="W35" s="2" t="inlineStr">
        <is>
          <t>잡알리오(2026-08-26 수집)</t>
        </is>
      </c>
      <c r="X35"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5" s="2" t="inlineStr">
        <is>
          <t>302968</t>
        </is>
      </c>
      <c r="Z35" s="2" t="inlineStr"/>
    </row>
    <row r="36" ht="58" customHeight="1">
      <c r="A36" s="2" t="inlineStr"/>
      <c r="B36" s="2" t="inlineStr">
        <is>
          <t>확인필요</t>
        </is>
      </c>
      <c r="C36" s="2" t="inlineStr">
        <is>
          <t>한국환경산업기술원</t>
        </is>
      </c>
      <c r="D36" s="2" t="inlineStr">
        <is>
          <t>무기계약직,정규직</t>
        </is>
      </c>
      <c r="E36" s="2" t="inlineStr">
        <is>
          <t>시설;사무</t>
        </is>
      </c>
      <c r="F36" s="2" t="inlineStr">
        <is>
          <t>5급(제품환경), 5급(환경산업), 5급(환경보건), 5급(사회복지), 5급(정보화), 전문2급(국제협력), 행정3급(환경행정), 지원2급(전산), 보안2급(운전)</t>
        </is>
      </c>
      <c r="G36" s="2" t="inlineStr">
        <is>
          <t>38명</t>
        </is>
      </c>
      <c r="H36" s="2" t="inlineStr">
        <is>
          <t>졸업생</t>
        </is>
      </c>
      <c r="I36" s="2" t="inlineStr">
        <is>
          <t>미표기</t>
        </is>
      </c>
      <c r="J36" s="4" t="inlineStr"/>
      <c r="K36" s="4" t="n">
        <v>46213</v>
      </c>
      <c r="L36" s="4" t="n">
        <v>46227</v>
      </c>
      <c r="M36" s="2">
        <f>IF($L36="","미정",IF($L36&lt;TODAY(),"마감",IF($L36-TODAY()&lt;=7,"임박","진행중")))</f>
        <v/>
      </c>
      <c r="N36" s="4" t="inlineStr"/>
      <c r="O36" s="4" t="inlineStr"/>
      <c r="P36" s="4" t="inlineStr"/>
      <c r="Q36"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6" s="2" t="inlineStr"/>
      <c r="S36" s="2" t="inlineStr">
        <is>
          <t>장애인, 취업지원대상자 등 (※ 상세 내용은 첨부파일 채용 공고 참조)</t>
        </is>
      </c>
      <c r="T36" s="2" t="inlineStr"/>
      <c r="U36" s="5" t="inlineStr">
        <is>
          <t>http://www.keiti.re.kr</t>
        </is>
      </c>
      <c r="V36" s="2" t="inlineStr">
        <is>
          <t>https://job.alio.go.kr/recruitview.do?idx=302600</t>
        </is>
      </c>
      <c r="W36" s="2" t="inlineStr">
        <is>
          <t>잡알리오(2026-08-26 수집)</t>
        </is>
      </c>
      <c r="X36"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6" s="2" t="inlineStr">
        <is>
          <t>302600</t>
        </is>
      </c>
      <c r="Z36" s="2" t="inlineStr"/>
    </row>
    <row r="37" ht="58" customHeight="1">
      <c r="A37" s="2" t="inlineStr"/>
      <c r="B37" s="2" t="inlineStr">
        <is>
          <t>확인필요</t>
        </is>
      </c>
      <c r="C37" s="2" t="inlineStr">
        <is>
          <t>한국중부발전(주)</t>
        </is>
      </c>
      <c r="D37" s="2" t="inlineStr">
        <is>
          <t>정규직</t>
        </is>
      </c>
      <c r="E37" s="2" t="inlineStr">
        <is>
          <t>기계;전기</t>
        </is>
      </c>
      <c r="F37"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7" s="2" t="inlineStr">
        <is>
          <t>98명</t>
        </is>
      </c>
      <c r="H37" s="2" t="inlineStr">
        <is>
          <t>공통</t>
        </is>
      </c>
      <c r="I37" s="2" t="inlineStr">
        <is>
          <t>미표기</t>
        </is>
      </c>
      <c r="J37" s="4" t="inlineStr"/>
      <c r="K37" s="4" t="n">
        <v>46210</v>
      </c>
      <c r="L37" s="4" t="n">
        <v>46225</v>
      </c>
      <c r="M37" s="2">
        <f>IF($L37="","미정",IF($L37&lt;TODAY(),"마감",IF($L37-TODAY()&lt;=7,"임박","진행중")))</f>
        <v/>
      </c>
      <c r="N37" s="4" t="inlineStr"/>
      <c r="O37" s="4" t="inlineStr"/>
      <c r="P37" s="4" t="inlineStr"/>
      <c r="Q37"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7" s="2" t="inlineStr"/>
      <c r="S37"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7" s="2" t="inlineStr"/>
      <c r="U37" s="5" t="inlineStr">
        <is>
          <t>https://www.komipo.co.kr</t>
        </is>
      </c>
      <c r="V37" s="2" t="inlineStr">
        <is>
          <t>https://job.alio.go.kr/recruitview.do?idx=302314</t>
        </is>
      </c>
      <c r="W37" s="2" t="inlineStr">
        <is>
          <t>잡알리오(2026-08-26 수집)</t>
        </is>
      </c>
      <c r="X37"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7" s="2" t="inlineStr">
        <is>
          <t>302314</t>
        </is>
      </c>
      <c r="Z37" s="2" t="inlineStr"/>
    </row>
  </sheetData>
  <autoFilter ref="A1:Z37"/>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2026-09-30T02:26:34Z</dcterms:created>
  <dcterms:modified xmlns:dcterms="http://purl.org/dc/terms/" xmlns:xsi="http://www.w3.org/2001/XMLSchema-instance" xsi:type="dcterms:W3CDTF">2026-09-30T02:26:34Z</dcterms:modified>
</cp:coreProperties>
</file>
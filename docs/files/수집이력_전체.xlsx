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'수집이력'!$A$1:$Y$16</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CA5A5"/>
      </patternFill>
    </fill>
    <fill>
      <patternFill patternType="solid">
        <fgColor rgb="00FFF17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3" fillId="3" borderId="1" applyAlignment="1" pivotButton="0" quotePrefix="0" xfId="0">
      <alignment vertical="top" wrapText="1"/>
    </xf>
    <xf numFmtId="0" fontId="0"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ie.careeron.co.kr/#/" TargetMode="External" Id="rId1"/><Relationship Type="http://schemas.openxmlformats.org/officeDocument/2006/relationships/hyperlink" Target="https://ktl2026.careerlink.kr/" TargetMode="External" Id="rId2"/><Relationship Type="http://schemas.openxmlformats.org/officeDocument/2006/relationships/hyperlink" Target="https://kicox.saramin.co.kr" TargetMode="External" Id="rId3"/><Relationship Type="http://schemas.openxmlformats.org/officeDocument/2006/relationships/hyperlink" Target="https://recruit.snuh.org/joining/recruit/view.do?notice_type=E&amp;recruit_id=26110" TargetMode="External" Id="rId4"/><Relationship Type="http://schemas.openxmlformats.org/officeDocument/2006/relationships/hyperlink" Target="https://knoc.recruitlab.co.kr/" TargetMode="External" Id="rId5"/><Relationship Type="http://schemas.openxmlformats.org/officeDocument/2006/relationships/hyperlink" Target="https://kosha.or.kr/notification/jobncontract/job/jobdata?bbsId=B2025021400005&amp;pstNo=202608060856579OQYZ6" TargetMode="External" Id="rId6"/><Relationship Type="http://schemas.openxmlformats.org/officeDocument/2006/relationships/hyperlink" Target="https://komir.saramin.co.kr" TargetMode="External" Id="rId7"/><Relationship Type="http://schemas.openxmlformats.org/officeDocument/2006/relationships/hyperlink" Target="https://info.korail.com" TargetMode="External" Id="rId8"/><Relationship Type="http://schemas.openxmlformats.org/officeDocument/2006/relationships/hyperlink" Target="https://koenergy.saramin.co.kr" TargetMode="External" Id="rId9"/><Relationship Type="http://schemas.openxmlformats.org/officeDocument/2006/relationships/hyperlink" Target="https://www.kogas.or.kr" TargetMode="External" Id="rId10"/><Relationship Type="http://schemas.openxmlformats.org/officeDocument/2006/relationships/hyperlink" Target="https://www.hrdkorea.or.kr/3/1/2/2" TargetMode="External" Id="rId11"/><Relationship Type="http://schemas.openxmlformats.org/officeDocument/2006/relationships/hyperlink" Target="https://www.khnp.co.kr/recruit" TargetMode="External" Id="rId12"/><Relationship Type="http://schemas.openxmlformats.org/officeDocument/2006/relationships/hyperlink" Target="https://www.khnp.co.kr/recruit" TargetMode="External" Id="rId13"/><Relationship Type="http://schemas.openxmlformats.org/officeDocument/2006/relationships/hyperlink" Target="http://www.keiti.re.kr" TargetMode="External" Id="rId14"/><Relationship Type="http://schemas.openxmlformats.org/officeDocument/2006/relationships/hyperlink" Target="https://www.komipo.co.kr" TargetMode="External" Id="rId15"/></Relationships>
</file>

<file path=xl/worksheets/sheet1.xml><?xml version="1.0" encoding="utf-8"?>
<worksheet xmlns="http://schemas.openxmlformats.org/spreadsheetml/2006/main">
  <sheetPr>
    <outlinePr summaryBelow="1" summaryRight="1"/>
    <pageSetUpPr fitToPage="1"/>
  </sheetPr>
  <dimension ref="A1:Y1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row>
    <row r="2" ht="58" customHeight="1">
      <c r="A2" s="2" t="inlineStr"/>
      <c r="B2" s="2" t="inlineStr">
        <is>
          <t>확인필요</t>
        </is>
      </c>
      <c r="C2" s="2" t="inlineStr">
        <is>
          <t>국립생태원</t>
        </is>
      </c>
      <c r="D2" s="2" t="inlineStr">
        <is>
          <t>무기계약직,청년인턴(채용형),정규직</t>
        </is>
      </c>
      <c r="E2" s="2" t="inlineStr">
        <is>
          <t>기계;전자;시설;사무</t>
        </is>
      </c>
      <c r="F2"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 s="2" t="inlineStr">
        <is>
          <t>57명</t>
        </is>
      </c>
      <c r="H2" s="2" t="inlineStr">
        <is>
          <t>공통</t>
        </is>
      </c>
      <c r="I2" s="2" t="inlineStr">
        <is>
          <t>미표기</t>
        </is>
      </c>
      <c r="J2" s="3" t="inlineStr"/>
      <c r="K2" s="3" t="n">
        <v>46258</v>
      </c>
      <c r="L2" s="3" t="n">
        <v>46274</v>
      </c>
      <c r="M2" s="2">
        <f>IF($L2="","미정",IF($L2&lt;TODAY(),"마감",IF($L2-TODAY()&lt;=7,"임박","진행중")))</f>
        <v/>
      </c>
      <c r="N2" s="3" t="inlineStr"/>
      <c r="O2" s="3" t="inlineStr"/>
      <c r="P2" s="3" t="inlineStr"/>
      <c r="Q2"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 s="2" t="inlineStr"/>
      <c r="S2"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 s="2" t="inlineStr"/>
      <c r="U2" s="4" t="inlineStr">
        <is>
          <t>https://nie.careeron.co.kr/#/</t>
        </is>
      </c>
      <c r="V2" s="2" t="inlineStr">
        <is>
          <t>https://job.alio.go.kr/recruitview.do?idx=304226</t>
        </is>
      </c>
      <c r="W2" s="2" t="inlineStr">
        <is>
          <t>잡알리오(2026-08-26 수집)</t>
        </is>
      </c>
      <c r="X2"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 s="2" t="inlineStr">
        <is>
          <t>304226</t>
        </is>
      </c>
    </row>
    <row r="3" ht="58" customHeight="1">
      <c r="A3" s="2" t="inlineStr"/>
      <c r="B3" s="2" t="inlineStr">
        <is>
          <t>확인필요</t>
        </is>
      </c>
      <c r="C3" s="2" t="inlineStr">
        <is>
          <t>한국산업기술시험원</t>
        </is>
      </c>
      <c r="D3" s="2" t="inlineStr">
        <is>
          <t>무기계약직,청년인턴(채용형),정규직</t>
        </is>
      </c>
      <c r="E3" s="2" t="inlineStr">
        <is>
          <t>기계;전기;전자;시설;사무</t>
        </is>
      </c>
      <c r="F3"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3" s="2" t="inlineStr">
        <is>
          <t>47명</t>
        </is>
      </c>
      <c r="H3" s="2" t="inlineStr">
        <is>
          <t>확인필요</t>
        </is>
      </c>
      <c r="I3" s="2" t="inlineStr">
        <is>
          <t>미표기</t>
        </is>
      </c>
      <c r="J3" s="3" t="inlineStr"/>
      <c r="K3" s="3" t="n">
        <v>46258</v>
      </c>
      <c r="L3" s="3" t="n">
        <v>46273</v>
      </c>
      <c r="M3" s="2">
        <f>IF($L3="","미정",IF($L3&lt;TODAY(),"마감",IF($L3-TODAY()&lt;=7,"임박","진행중")))</f>
        <v/>
      </c>
      <c r="N3" s="3" t="inlineStr"/>
      <c r="O3" s="3" t="inlineStr"/>
      <c r="P3" s="3" t="inlineStr"/>
      <c r="Q3"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3" s="2" t="inlineStr"/>
      <c r="S3" s="2" t="inlineStr">
        <is>
          <t>국가유공자, 장애인, 이전지역(경남·울산)인재, 저소득층, 북한이탈주민, 다문화가족, 자립준비청년, 시험원 체험형 청년인턴 수료자(수료일 : '24.9.8.~'26.9.8. 기간 내)</t>
        </is>
      </c>
      <c r="T3" s="2" t="inlineStr"/>
      <c r="U3" s="4" t="inlineStr">
        <is>
          <t>https://ktl2026.careerlink.kr/</t>
        </is>
      </c>
      <c r="V3" s="2" t="inlineStr">
        <is>
          <t>https://job.alio.go.kr/recruitview.do?idx=304192</t>
        </is>
      </c>
      <c r="W3" s="2" t="inlineStr">
        <is>
          <t>잡알리오(2026-08-26 수집)</t>
        </is>
      </c>
      <c r="X3"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3" s="2" t="inlineStr">
        <is>
          <t>304192</t>
        </is>
      </c>
    </row>
    <row r="4" ht="58" customHeight="1">
      <c r="A4" s="2" t="inlineStr"/>
      <c r="B4" s="2" t="inlineStr">
        <is>
          <t>확인필요</t>
        </is>
      </c>
      <c r="C4" s="2" t="inlineStr">
        <is>
          <t>한국산업단지공단</t>
        </is>
      </c>
      <c r="D4" s="2" t="inlineStr">
        <is>
          <t>정규직</t>
        </is>
      </c>
      <c r="E4" s="2" t="inlineStr">
        <is>
          <t>전기;사무</t>
        </is>
      </c>
      <c r="F4"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4" s="2" t="inlineStr">
        <is>
          <t>22명</t>
        </is>
      </c>
      <c r="H4" s="2" t="inlineStr">
        <is>
          <t>공통</t>
        </is>
      </c>
      <c r="I4" s="5" t="inlineStr">
        <is>
          <t>필요</t>
        </is>
      </c>
      <c r="J4" s="3" t="inlineStr"/>
      <c r="K4" s="3" t="n">
        <v>46254</v>
      </c>
      <c r="L4" s="3" t="n">
        <v>46268</v>
      </c>
      <c r="M4" s="2">
        <f>IF($L4="","미정",IF($L4&lt;TODAY(),"마감",IF($L4-TODAY()&lt;=7,"임박","진행중")))</f>
        <v/>
      </c>
      <c r="N4" s="3" t="inlineStr"/>
      <c r="O4" s="3" t="inlineStr"/>
      <c r="P4" s="3" t="inlineStr"/>
      <c r="Q4"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4" s="2" t="inlineStr"/>
      <c r="S4" s="2" t="inlineStr">
        <is>
          <t>취업지원대상자, 장애인, 국민기초생활수급자, 한부모가족, 북한이탈주민, 다문화가족, 경력단절 여성, 자립준비청년, 한국산업단지공단 청년인턴 * 보다 자세한 사항은 채용 공고문 참조</t>
        </is>
      </c>
      <c r="T4" s="2" t="inlineStr"/>
      <c r="U4" s="4" t="inlineStr">
        <is>
          <t>https://kicox.saramin.co.kr</t>
        </is>
      </c>
      <c r="V4" s="2" t="inlineStr">
        <is>
          <t>https://job.alio.go.kr/recruitview.do?idx=304044</t>
        </is>
      </c>
      <c r="W4" s="2" t="inlineStr">
        <is>
          <t>잡알리오(2026-08-26 수집)</t>
        </is>
      </c>
      <c r="X4"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4" s="2" t="inlineStr">
        <is>
          <t>304044</t>
        </is>
      </c>
    </row>
    <row r="5" ht="58" customHeight="1">
      <c r="A5" s="2" t="inlineStr"/>
      <c r="B5" s="2" t="inlineStr">
        <is>
          <t>확인필요</t>
        </is>
      </c>
      <c r="C5" s="2" t="inlineStr">
        <is>
          <t>서울대학교병원</t>
        </is>
      </c>
      <c r="D5" s="2" t="inlineStr">
        <is>
          <t>정규직</t>
        </is>
      </c>
      <c r="E5" s="2" t="inlineStr">
        <is>
          <t>기계;시설;사무</t>
        </is>
      </c>
      <c r="F5"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5" s="2" t="inlineStr">
        <is>
          <t>96명</t>
        </is>
      </c>
      <c r="H5" s="2" t="inlineStr">
        <is>
          <t>공통</t>
        </is>
      </c>
      <c r="I5" s="2" t="inlineStr">
        <is>
          <t>미표기</t>
        </is>
      </c>
      <c r="J5" s="3" t="inlineStr"/>
      <c r="K5" s="3" t="n">
        <v>46253</v>
      </c>
      <c r="L5" s="3" t="n">
        <v>46267</v>
      </c>
      <c r="M5" s="2">
        <f>IF($L5="","미정",IF($L5&lt;TODAY(),"마감",IF($L5-TODAY()&lt;=7,"임박","진행중")))</f>
        <v/>
      </c>
      <c r="N5" s="3" t="inlineStr"/>
      <c r="O5" s="3" t="inlineStr"/>
      <c r="P5" s="3" t="inlineStr"/>
      <c r="Q5"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5" s="2" t="inlineStr"/>
      <c r="S5" s="2" t="inlineStr">
        <is>
          <t>취업지원대상자, 장애인, 본원 체험형 인턴 우수자</t>
        </is>
      </c>
      <c r="T5" s="2" t="inlineStr"/>
      <c r="U5" s="4" t="inlineStr">
        <is>
          <t>https://recruit.snuh.org/joining/recruit/view.do?notice_type=E&amp;recruit_id=26110</t>
        </is>
      </c>
      <c r="V5" s="2" t="inlineStr">
        <is>
          <t>https://job.alio.go.kr/recruitview.do?idx=304035</t>
        </is>
      </c>
      <c r="W5" s="2" t="inlineStr">
        <is>
          <t>잡알리오(2026-08-26 수집)</t>
        </is>
      </c>
      <c r="X5"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5" s="2" t="inlineStr">
        <is>
          <t>304035</t>
        </is>
      </c>
    </row>
    <row r="6" ht="58" customHeight="1">
      <c r="A6" s="2" t="inlineStr"/>
      <c r="B6" s="2" t="inlineStr">
        <is>
          <t>확인필요</t>
        </is>
      </c>
      <c r="C6" s="2" t="inlineStr">
        <is>
          <t>한국석유공사</t>
        </is>
      </c>
      <c r="D6" s="2" t="inlineStr">
        <is>
          <t>정규직</t>
        </is>
      </c>
      <c r="E6" s="2" t="inlineStr">
        <is>
          <t>기계;전기;사무</t>
        </is>
      </c>
      <c r="F6" s="2" t="inlineStr">
        <is>
          <t>사무/경영, 기술/기계, 기술/전기</t>
        </is>
      </c>
      <c r="G6" s="2" t="inlineStr">
        <is>
          <t>11명</t>
        </is>
      </c>
      <c r="H6" s="2" t="inlineStr">
        <is>
          <t>공통</t>
        </is>
      </c>
      <c r="I6" s="2" t="inlineStr">
        <is>
          <t>미표기</t>
        </is>
      </c>
      <c r="J6" s="3" t="inlineStr"/>
      <c r="K6" s="3" t="n">
        <v>46247</v>
      </c>
      <c r="L6" s="3" t="n">
        <v>46262</v>
      </c>
      <c r="M6" s="2">
        <f>IF($L6="","미정",IF($L6&lt;TODAY(),"마감",IF($L6-TODAY()&lt;=7,"임박","진행중")))</f>
        <v/>
      </c>
      <c r="N6" s="3" t="inlineStr"/>
      <c r="O6" s="3" t="inlineStr"/>
      <c r="P6" s="3" t="inlineStr"/>
      <c r="Q6"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6" s="2" t="inlineStr"/>
      <c r="S6"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6" s="2" t="inlineStr"/>
      <c r="U6" s="4" t="inlineStr">
        <is>
          <t>https://knoc.recruitlab.co.kr/</t>
        </is>
      </c>
      <c r="V6" s="2" t="inlineStr">
        <is>
          <t>https://job.alio.go.kr/recruitview.do?idx=303892</t>
        </is>
      </c>
      <c r="W6" s="2" t="inlineStr">
        <is>
          <t>잡알리오(2026-08-27 수집)</t>
        </is>
      </c>
      <c r="X6"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6" s="2" t="inlineStr">
        <is>
          <t>303892</t>
        </is>
      </c>
    </row>
    <row r="7" ht="58" customHeight="1">
      <c r="A7" s="2" t="inlineStr"/>
      <c r="B7" s="2" t="inlineStr">
        <is>
          <t>확인필요</t>
        </is>
      </c>
      <c r="C7" s="2" t="inlineStr">
        <is>
          <t>한국산업안전보건공단</t>
        </is>
      </c>
      <c r="D7" s="2" t="inlineStr">
        <is>
          <t>정규직</t>
        </is>
      </c>
      <c r="E7" s="2" t="inlineStr">
        <is>
          <t>기계;전기;시설;사무</t>
        </is>
      </c>
      <c r="F7"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7" s="2" t="inlineStr">
        <is>
          <t>20명</t>
        </is>
      </c>
      <c r="H7" s="2" t="inlineStr">
        <is>
          <t>공통</t>
        </is>
      </c>
      <c r="I7" s="2" t="inlineStr">
        <is>
          <t>미표기</t>
        </is>
      </c>
      <c r="J7" s="3" t="inlineStr"/>
      <c r="K7" s="3" t="n">
        <v>46240</v>
      </c>
      <c r="L7" s="3" t="n">
        <v>46258</v>
      </c>
      <c r="M7" s="2">
        <f>IF($L7="","미정",IF($L7&lt;TODAY(),"마감",IF($L7-TODAY()&lt;=7,"임박","진행중")))</f>
        <v/>
      </c>
      <c r="N7" s="3" t="inlineStr"/>
      <c r="O7" s="3" t="inlineStr"/>
      <c r="P7" s="3" t="inlineStr"/>
      <c r="Q7"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7" s="2" t="inlineStr"/>
      <c r="S7" s="2" t="inlineStr">
        <is>
          <t>취업지원대상자, 장애인, 국민기초생활수급자, 한부모가족, 북한이탈주민, 다문화가족, 자립준비청년, '25년도 공단 체험형 인턴 수료자 ※ 보다 자세한 사항은 첨부파일의 채용공고문 참조</t>
        </is>
      </c>
      <c r="T7" s="2" t="inlineStr"/>
      <c r="U7" s="4" t="inlineStr">
        <is>
          <t>https://kosha.or.kr/notification/jobncontract/job/jobdata?bbsId=B2025021400005&amp;pstNo=202608060856579OQYZ6</t>
        </is>
      </c>
      <c r="V7" s="2" t="inlineStr">
        <is>
          <t>https://job.alio.go.kr/recruitview.do?idx=303583</t>
        </is>
      </c>
      <c r="W7" s="2" t="inlineStr">
        <is>
          <t>잡알리오(2026-08-26 수집)</t>
        </is>
      </c>
      <c r="X7"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7" s="2" t="inlineStr">
        <is>
          <t>303583</t>
        </is>
      </c>
    </row>
    <row r="8" ht="58" customHeight="1">
      <c r="A8" s="2" t="inlineStr"/>
      <c r="B8" s="2" t="inlineStr">
        <is>
          <t>확인필요</t>
        </is>
      </c>
      <c r="C8" s="2" t="inlineStr">
        <is>
          <t>한국광해광업공단</t>
        </is>
      </c>
      <c r="D8" s="2" t="inlineStr">
        <is>
          <t>청년인턴(체험형),청년인턴(채용형)</t>
        </is>
      </c>
      <c r="E8" s="2" t="inlineStr">
        <is>
          <t>시설;사무</t>
        </is>
      </c>
      <c r="F8"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8" s="2" t="inlineStr">
        <is>
          <t>40명</t>
        </is>
      </c>
      <c r="H8" s="6" t="inlineStr">
        <is>
          <t>재학생</t>
        </is>
      </c>
      <c r="I8" s="2" t="inlineStr">
        <is>
          <t>미표기</t>
        </is>
      </c>
      <c r="J8" s="3" t="inlineStr"/>
      <c r="K8" s="3" t="n">
        <v>46242</v>
      </c>
      <c r="L8" s="3" t="n">
        <v>46258</v>
      </c>
      <c r="M8" s="2">
        <f>IF($L8="","미정",IF($L8&lt;TODAY(),"마감",IF($L8-TODAY()&lt;=7,"임박","진행중")))</f>
        <v/>
      </c>
      <c r="N8" s="3" t="inlineStr"/>
      <c r="O8" s="3" t="inlineStr"/>
      <c r="P8" s="3" t="inlineStr"/>
      <c r="Q8"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8" s="2" t="inlineStr"/>
      <c r="S8" s="2" t="inlineStr">
        <is>
          <t>장애인, 취업지원대상자, 청년, 자립준비청년, 저소득층, 북한이탈주민, 경력단절여성, 공단 근로경력자(1년 이상)</t>
        </is>
      </c>
      <c r="T8" s="2" t="inlineStr"/>
      <c r="U8" s="4" t="inlineStr">
        <is>
          <t>https://komir.saramin.co.kr</t>
        </is>
      </c>
      <c r="V8" s="2" t="inlineStr">
        <is>
          <t>https://job.alio.go.kr/recruitview.do?idx=303653</t>
        </is>
      </c>
      <c r="W8" s="2" t="inlineStr">
        <is>
          <t>잡알리오(2026-08-26 수집)</t>
        </is>
      </c>
      <c r="X8"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8" s="2" t="inlineStr">
        <is>
          <t>303653</t>
        </is>
      </c>
    </row>
    <row r="9" ht="58" customHeight="1">
      <c r="A9" s="2" t="inlineStr"/>
      <c r="B9" s="2" t="inlineStr">
        <is>
          <t>확인필요</t>
        </is>
      </c>
      <c r="C9" s="2" t="inlineStr">
        <is>
          <t>한국철도공사</t>
        </is>
      </c>
      <c r="D9" s="2" t="inlineStr">
        <is>
          <t>청년인턴(채용형),정규직</t>
        </is>
      </c>
      <c r="E9" s="2" t="inlineStr">
        <is>
          <t>기계;전기;전자;시설;사무</t>
        </is>
      </c>
      <c r="F9"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9" s="2" t="inlineStr">
        <is>
          <t>600명</t>
        </is>
      </c>
      <c r="H9" s="2" t="inlineStr">
        <is>
          <t>공통</t>
        </is>
      </c>
      <c r="I9" s="5" t="inlineStr">
        <is>
          <t>필요</t>
        </is>
      </c>
      <c r="J9" s="3" t="inlineStr"/>
      <c r="K9" s="3" t="n">
        <v>46241</v>
      </c>
      <c r="L9" s="3" t="n">
        <v>46255</v>
      </c>
      <c r="M9" s="2">
        <f>IF($L9="","미정",IF($L9&lt;TODAY(),"마감",IF($L9-TODAY()&lt;=7,"임박","진행중")))</f>
        <v/>
      </c>
      <c r="N9" s="3" t="inlineStr"/>
      <c r="O9" s="3" t="inlineStr"/>
      <c r="P9" s="3" t="inlineStr"/>
      <c r="Q9"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9" s="2" t="inlineStr"/>
      <c r="S9"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9" s="2" t="inlineStr"/>
      <c r="U9" s="4" t="inlineStr">
        <is>
          <t>https://info.korail.com</t>
        </is>
      </c>
      <c r="V9" s="2" t="inlineStr">
        <is>
          <t>https://job.alio.go.kr/recruitview.do?idx=303642</t>
        </is>
      </c>
      <c r="W9" s="2" t="inlineStr">
        <is>
          <t>잡알리오(2026-08-26 수집)</t>
        </is>
      </c>
      <c r="X9"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9" s="2" t="inlineStr">
        <is>
          <t>303642</t>
        </is>
      </c>
    </row>
    <row r="10" ht="58" customHeight="1">
      <c r="A10" s="2" t="inlineStr"/>
      <c r="B10" s="2" t="inlineStr">
        <is>
          <t>확인필요</t>
        </is>
      </c>
      <c r="C10" s="2" t="inlineStr">
        <is>
          <t>한국남동발전(주)</t>
        </is>
      </c>
      <c r="D10" s="2" t="inlineStr">
        <is>
          <t>정규직</t>
        </is>
      </c>
      <c r="E10" s="2" t="inlineStr">
        <is>
          <t>기계;전기</t>
        </is>
      </c>
      <c r="F10" s="2" t="inlineStr">
        <is>
          <t>대졸수준 신입 일반전형-화학, 고졸수준 신입 일반전형-기계, 고졸수준 신입 일반전형-전기, 고졸수준 신입 일반전형-화학</t>
        </is>
      </c>
      <c r="G10" s="2" t="inlineStr">
        <is>
          <t>30명</t>
        </is>
      </c>
      <c r="H10" s="2" t="inlineStr">
        <is>
          <t>공통</t>
        </is>
      </c>
      <c r="I10" s="2" t="inlineStr">
        <is>
          <t>미표기</t>
        </is>
      </c>
      <c r="J10" s="3" t="inlineStr"/>
      <c r="K10" s="3" t="n">
        <v>46237</v>
      </c>
      <c r="L10" s="3" t="n">
        <v>46252</v>
      </c>
      <c r="M10" s="2">
        <f>IF($L10="","미정",IF($L10&lt;TODAY(),"마감",IF($L10-TODAY()&lt;=7,"임박","진행중")))</f>
        <v/>
      </c>
      <c r="N10" s="3" t="inlineStr"/>
      <c r="O10" s="3" t="inlineStr"/>
      <c r="P10" s="3" t="inlineStr"/>
      <c r="Q10"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10" s="2" t="inlineStr"/>
      <c r="S10" s="2" t="inlineStr">
        <is>
          <t>취업지원대상자, 장애인, 저소득층, 다문화가정, 자립준비청년, 발전소 주변지역주민, 북한이탈주민, 시간선택제 근로자(당사 재직자), 체험형인턴 우수자 등</t>
        </is>
      </c>
      <c r="T10" s="2" t="inlineStr"/>
      <c r="U10" s="4" t="inlineStr">
        <is>
          <t>https://koenergy.saramin.co.kr</t>
        </is>
      </c>
      <c r="V10" s="2" t="inlineStr">
        <is>
          <t>https://job.alio.go.kr/recruitview.do?idx=303429</t>
        </is>
      </c>
      <c r="W10" s="2" t="inlineStr">
        <is>
          <t>잡알리오(2026-08-26 수집)</t>
        </is>
      </c>
      <c r="X10"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10" s="2" t="inlineStr">
        <is>
          <t>303429</t>
        </is>
      </c>
    </row>
    <row r="11" ht="58" customHeight="1">
      <c r="A11" s="2" t="inlineStr"/>
      <c r="B11" s="2" t="inlineStr">
        <is>
          <t>확인필요</t>
        </is>
      </c>
      <c r="C11" s="2" t="inlineStr">
        <is>
          <t>한국가스공사</t>
        </is>
      </c>
      <c r="D11" s="2" t="inlineStr">
        <is>
          <t>청년인턴(채용형)</t>
        </is>
      </c>
      <c r="E11" s="2" t="inlineStr">
        <is>
          <t>기계;전기;시설</t>
        </is>
      </c>
      <c r="F11" s="2" t="inlineStr">
        <is>
          <t>채용형 인턴(7급) - 기계, 채용형 인턴(7급) - 전기, 채용형 인턴(7급) - 화공</t>
        </is>
      </c>
      <c r="G11" s="2" t="inlineStr">
        <is>
          <t>20명</t>
        </is>
      </c>
      <c r="H11" s="2" t="inlineStr">
        <is>
          <t>확인필요</t>
        </is>
      </c>
      <c r="I11" s="2" t="inlineStr">
        <is>
          <t>미표기</t>
        </is>
      </c>
      <c r="J11" s="3" t="inlineStr"/>
      <c r="K11" s="3" t="n">
        <v>46234</v>
      </c>
      <c r="L11" s="3" t="n">
        <v>46248</v>
      </c>
      <c r="M11" s="2">
        <f>IF($L11="","미정",IF($L11&lt;TODAY(),"마감",IF($L11-TODAY()&lt;=7,"임박","진행중")))</f>
        <v/>
      </c>
      <c r="N11" s="3" t="inlineStr"/>
      <c r="O11" s="3" t="inlineStr"/>
      <c r="P11" s="3" t="inlineStr"/>
      <c r="Q11"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11" s="2" t="inlineStr"/>
      <c r="S11" s="2" t="inlineStr">
        <is>
          <t>하단 우대 내용 참조</t>
        </is>
      </c>
      <c r="T11" s="2" t="inlineStr"/>
      <c r="U11" s="4" t="inlineStr">
        <is>
          <t>https://www.kogas.or.kr</t>
        </is>
      </c>
      <c r="V11" s="2" t="inlineStr">
        <is>
          <t>https://job.alio.go.kr/recruitview.do?idx=303318</t>
        </is>
      </c>
      <c r="W11" s="2" t="inlineStr">
        <is>
          <t>잡알리오(2026-08-27 수집)</t>
        </is>
      </c>
      <c r="X11"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11" s="2" t="inlineStr">
        <is>
          <t>303318</t>
        </is>
      </c>
    </row>
    <row r="12" ht="58" customHeight="1">
      <c r="A12" s="2" t="inlineStr"/>
      <c r="B12" s="2" t="inlineStr">
        <is>
          <t>확인필요</t>
        </is>
      </c>
      <c r="C12" s="2" t="inlineStr">
        <is>
          <t>한국산업인력공단</t>
        </is>
      </c>
      <c r="D12" s="2" t="inlineStr">
        <is>
          <t>정규직</t>
        </is>
      </c>
      <c r="E12" s="2" t="inlineStr">
        <is>
          <t>시설;사무</t>
        </is>
      </c>
      <c r="F12"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12" s="2" t="inlineStr">
        <is>
          <t>40명</t>
        </is>
      </c>
      <c r="H12" s="2" t="inlineStr">
        <is>
          <t>공통</t>
        </is>
      </c>
      <c r="I12" s="2" t="inlineStr">
        <is>
          <t>미표기</t>
        </is>
      </c>
      <c r="J12" s="3" t="inlineStr"/>
      <c r="K12" s="3" t="n">
        <v>46232</v>
      </c>
      <c r="L12" s="3" t="n">
        <v>46247</v>
      </c>
      <c r="M12" s="2">
        <f>IF($L12="","미정",IF($L12&lt;TODAY(),"마감",IF($L12-TODAY()&lt;=7,"임박","진행중")))</f>
        <v/>
      </c>
      <c r="N12" s="3" t="inlineStr"/>
      <c r="O12" s="3" t="inlineStr"/>
      <c r="P12" s="3" t="inlineStr"/>
      <c r="Q12"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12" s="2" t="inlineStr"/>
      <c r="S12" s="2" t="inlineStr">
        <is>
          <t>장애인, 취업지원대상자, 국민기초생활수급자, 한부모가족, 자립준비청년, 북한이탈주민, 다문화가족, 우리 공단 청년인턴, 우리 공단 정규직 재직직원 ※ 자세한 사항은 첨부파일 참조</t>
        </is>
      </c>
      <c r="T12" s="2" t="inlineStr"/>
      <c r="U12" s="4" t="inlineStr">
        <is>
          <t>https://www.hrdkorea.or.kr/3/1/2/2</t>
        </is>
      </c>
      <c r="V12" s="2" t="inlineStr">
        <is>
          <t>https://job.alio.go.kr/recruitview.do?idx=303146</t>
        </is>
      </c>
      <c r="W12" s="2" t="inlineStr">
        <is>
          <t>잡알리오(2026-08-26 수집)</t>
        </is>
      </c>
      <c r="X12"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12" s="2" t="inlineStr">
        <is>
          <t>303146</t>
        </is>
      </c>
    </row>
    <row r="13" ht="58" customHeight="1">
      <c r="A13" s="2" t="inlineStr"/>
      <c r="B13" s="2" t="inlineStr">
        <is>
          <t>확인필요</t>
        </is>
      </c>
      <c r="C13" s="2" t="inlineStr">
        <is>
          <t>한국수력원자력(주)</t>
        </is>
      </c>
      <c r="D13" s="2" t="inlineStr">
        <is>
          <t>정규직</t>
        </is>
      </c>
      <c r="E13" s="2" t="inlineStr">
        <is>
          <t>기계;전기;전자</t>
        </is>
      </c>
      <c r="F13" s="2" t="inlineStr">
        <is>
          <t>재학생(기계), 재학생(전기전자), 졸업생(기계), 졸업생(전기전자)</t>
        </is>
      </c>
      <c r="G13" s="2" t="inlineStr">
        <is>
          <t>32명</t>
        </is>
      </c>
      <c r="H13" s="6" t="inlineStr">
        <is>
          <t>재학생</t>
        </is>
      </c>
      <c r="I13" s="2" t="inlineStr">
        <is>
          <t>미표기</t>
        </is>
      </c>
      <c r="J13" s="3" t="inlineStr"/>
      <c r="K13" s="3" t="n">
        <v>46226</v>
      </c>
      <c r="L13" s="3" t="n">
        <v>46241</v>
      </c>
      <c r="M13" s="2">
        <f>IF($L13="","미정",IF($L13&lt;TODAY(),"마감",IF($L13-TODAY()&lt;=7,"임박","진행중")))</f>
        <v/>
      </c>
      <c r="N13" s="3" t="inlineStr"/>
      <c r="O13" s="3" t="inlineStr"/>
      <c r="P13" s="3" t="inlineStr"/>
      <c r="Q13"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13" s="2" t="inlineStr"/>
      <c r="S13"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13" s="2" t="inlineStr"/>
      <c r="U13" s="4" t="inlineStr">
        <is>
          <t>https://www.khnp.co.kr/recruit</t>
        </is>
      </c>
      <c r="V13" s="2" t="inlineStr">
        <is>
          <t>https://job.alio.go.kr/recruitview.do?idx=302994</t>
        </is>
      </c>
      <c r="W13" s="2" t="inlineStr">
        <is>
          <t>잡알리오(2026-08-27 수집)</t>
        </is>
      </c>
      <c r="X13"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13" s="2" t="inlineStr">
        <is>
          <t>302994</t>
        </is>
      </c>
    </row>
    <row r="14" ht="58" customHeight="1">
      <c r="A14" s="2" t="inlineStr"/>
      <c r="B14" s="2" t="inlineStr">
        <is>
          <t>확인필요</t>
        </is>
      </c>
      <c r="C14" s="2" t="inlineStr">
        <is>
          <t>한국수력원자력(주)</t>
        </is>
      </c>
      <c r="D14" s="2" t="inlineStr">
        <is>
          <t>정규직</t>
        </is>
      </c>
      <c r="E14" s="2" t="inlineStr">
        <is>
          <t>기계;전기;전자;시설;사무</t>
        </is>
      </c>
      <c r="F14"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14" s="2" t="inlineStr">
        <is>
          <t>229명</t>
        </is>
      </c>
      <c r="H14" s="2" t="inlineStr">
        <is>
          <t>확인필요</t>
        </is>
      </c>
      <c r="I14" s="2" t="inlineStr">
        <is>
          <t>미표기</t>
        </is>
      </c>
      <c r="J14" s="3" t="inlineStr"/>
      <c r="K14" s="3" t="n">
        <v>46225</v>
      </c>
      <c r="L14" s="3" t="n">
        <v>46240</v>
      </c>
      <c r="M14" s="2">
        <f>IF($L14="","미정",IF($L14&lt;TODAY(),"마감",IF($L14-TODAY()&lt;=7,"임박","진행중")))</f>
        <v/>
      </c>
      <c r="N14" s="3" t="inlineStr"/>
      <c r="O14" s="3" t="inlineStr"/>
      <c r="P14" s="3" t="inlineStr"/>
      <c r="Q14"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14" s="2" t="inlineStr"/>
      <c r="S14"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14" s="2" t="inlineStr"/>
      <c r="U14" s="4" t="inlineStr">
        <is>
          <t>https://www.khnp.co.kr/recruit</t>
        </is>
      </c>
      <c r="V14" s="2" t="inlineStr">
        <is>
          <t>https://job.alio.go.kr/recruitview.do?idx=302968</t>
        </is>
      </c>
      <c r="W14" s="2" t="inlineStr">
        <is>
          <t>잡알리오(2026-08-26 수집)</t>
        </is>
      </c>
      <c r="X14"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14" s="2" t="inlineStr">
        <is>
          <t>302968</t>
        </is>
      </c>
    </row>
    <row r="15" ht="58" customHeight="1">
      <c r="A15" s="2" t="inlineStr"/>
      <c r="B15" s="2" t="inlineStr">
        <is>
          <t>확인필요</t>
        </is>
      </c>
      <c r="C15" s="2" t="inlineStr">
        <is>
          <t>한국환경산업기술원</t>
        </is>
      </c>
      <c r="D15" s="2" t="inlineStr">
        <is>
          <t>무기계약직,정규직</t>
        </is>
      </c>
      <c r="E15" s="2" t="inlineStr">
        <is>
          <t>시설;사무</t>
        </is>
      </c>
      <c r="F15" s="2" t="inlineStr">
        <is>
          <t>5급(제품환경), 5급(환경산업), 5급(환경보건), 5급(사회복지), 5급(정보화), 전문2급(국제협력), 행정3급(환경행정), 지원2급(전산), 보안2급(운전)</t>
        </is>
      </c>
      <c r="G15" s="2" t="inlineStr">
        <is>
          <t>38명</t>
        </is>
      </c>
      <c r="H15" s="2" t="inlineStr">
        <is>
          <t>졸업생</t>
        </is>
      </c>
      <c r="I15" s="2" t="inlineStr">
        <is>
          <t>미표기</t>
        </is>
      </c>
      <c r="J15" s="3" t="inlineStr"/>
      <c r="K15" s="3" t="n">
        <v>46213</v>
      </c>
      <c r="L15" s="3" t="n">
        <v>46227</v>
      </c>
      <c r="M15" s="2">
        <f>IF($L15="","미정",IF($L15&lt;TODAY(),"마감",IF($L15-TODAY()&lt;=7,"임박","진행중")))</f>
        <v/>
      </c>
      <c r="N15" s="3" t="inlineStr"/>
      <c r="O15" s="3" t="inlineStr"/>
      <c r="P15" s="3" t="inlineStr"/>
      <c r="Q15"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15" s="2" t="inlineStr"/>
      <c r="S15" s="2" t="inlineStr">
        <is>
          <t>장애인, 취업지원대상자 등 (※ 상세 내용은 첨부파일 채용 공고 참조)</t>
        </is>
      </c>
      <c r="T15" s="2" t="inlineStr"/>
      <c r="U15" s="4" t="inlineStr">
        <is>
          <t>http://www.keiti.re.kr</t>
        </is>
      </c>
      <c r="V15" s="2" t="inlineStr">
        <is>
          <t>https://job.alio.go.kr/recruitview.do?idx=302600</t>
        </is>
      </c>
      <c r="W15" s="2" t="inlineStr">
        <is>
          <t>잡알리오(2026-08-26 수집)</t>
        </is>
      </c>
      <c r="X15"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15" s="2" t="inlineStr">
        <is>
          <t>302600</t>
        </is>
      </c>
    </row>
    <row r="16" ht="58" customHeight="1">
      <c r="A16" s="2" t="inlineStr"/>
      <c r="B16" s="2" t="inlineStr">
        <is>
          <t>확인필요</t>
        </is>
      </c>
      <c r="C16" s="2" t="inlineStr">
        <is>
          <t>한국중부발전(주)</t>
        </is>
      </c>
      <c r="D16" s="2" t="inlineStr">
        <is>
          <t>정규직</t>
        </is>
      </c>
      <c r="E16" s="2" t="inlineStr">
        <is>
          <t>기계;전기</t>
        </is>
      </c>
      <c r="F16"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16" s="2" t="inlineStr">
        <is>
          <t>98명</t>
        </is>
      </c>
      <c r="H16" s="2" t="inlineStr">
        <is>
          <t>공통</t>
        </is>
      </c>
      <c r="I16" s="2" t="inlineStr">
        <is>
          <t>미표기</t>
        </is>
      </c>
      <c r="J16" s="3" t="inlineStr"/>
      <c r="K16" s="3" t="n">
        <v>46210</v>
      </c>
      <c r="L16" s="3" t="n">
        <v>46225</v>
      </c>
      <c r="M16" s="2">
        <f>IF($L16="","미정",IF($L16&lt;TODAY(),"마감",IF($L16-TODAY()&lt;=7,"임박","진행중")))</f>
        <v/>
      </c>
      <c r="N16" s="3" t="inlineStr"/>
      <c r="O16" s="3" t="inlineStr"/>
      <c r="P16" s="3" t="inlineStr"/>
      <c r="Q16"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16" s="2" t="inlineStr"/>
      <c r="S16"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16" s="2" t="inlineStr"/>
      <c r="U16" s="4" t="inlineStr">
        <is>
          <t>https://www.komipo.co.kr</t>
        </is>
      </c>
      <c r="V16" s="2" t="inlineStr">
        <is>
          <t>https://job.alio.go.kr/recruitview.do?idx=302314</t>
        </is>
      </c>
      <c r="W16" s="2" t="inlineStr">
        <is>
          <t>잡알리오(2026-08-26 수집)</t>
        </is>
      </c>
      <c r="X16"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16" s="2" t="inlineStr">
        <is>
          <t>302314</t>
        </is>
      </c>
    </row>
  </sheetData>
  <autoFilter ref="A1:Y16"/>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2026-08-27T04:54:13Z</dcterms:created>
  <dcterms:modified xmlns:dcterms="http://purl.org/dc/terms/" xmlns:xsi="http://www.w3.org/2001/XMLSchema-instance" xsi:type="dcterms:W3CDTF">2026-08-27T04:54:13Z</dcterms:modified>
</cp:coreProperties>
</file>
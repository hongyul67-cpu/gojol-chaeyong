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신규공고" sheetId="1" state="visible" r:id="rId1"/>
    <sheet xmlns:r="http://schemas.openxmlformats.org/officeDocument/2006/relationships" name="⚠️먼저읽기" sheetId="2" state="visible" r:id="rId2"/>
  </sheets>
  <definedNames>
    <definedName name="_xlnm._FilterDatabase" localSheetId="0" hidden="1">'신규공고'!$A$1:$X$5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color rgb="001D4ED8"/>
      <sz val="10"/>
      <u val="single"/>
    </font>
    <font>
      <b val="1"/>
      <color rgb="00B91C1C"/>
      <sz val="13"/>
    </font>
  </fonts>
  <fills count="4">
    <fill>
      <patternFill/>
    </fill>
    <fill>
      <patternFill patternType="gray125"/>
    </fill>
    <fill>
      <patternFill patternType="solid">
        <fgColor rgb="00374151"/>
      </patternFill>
    </fill>
    <fill>
      <patternFill patternType="solid">
        <fgColor rgb="00FFF17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nhis.or.kr/nhis/together/wbhaea02700m01.do?mode=view&amp;articleNo=11013562&amp;article.offset=0&amp;articleLimit=10" TargetMode="External" Id="rId1"/><Relationship Type="http://schemas.openxmlformats.org/officeDocument/2006/relationships/hyperlink" Target="https://www.kalis.or.kr/www/brd/m_630/view.do?seq=321&amp;srchFr=&amp;srchTo=&amp;srchWord=&amp;srchTp=&amp;itm_seq_1=0&amp;itm_seq_2=0&amp;multi_itm_seq=0&amp;company_cd=&amp;company_nm=&amp;p_stat=&amp;p_itmseq1=&amp;diviTp=" TargetMode="External" Id="rId2"/><Relationship Type="http://schemas.openxmlformats.org/officeDocument/2006/relationships/hyperlink" Target="https://www.lh.or.kr/board.es?mid=a10602060000&amp;bid=0053&amp;act=view&amp;list_no=734050&amp;tag=&amp;nPage=1" TargetMode="External" Id="rId3"/><Relationship Type="http://schemas.openxmlformats.org/officeDocument/2006/relationships/hyperlink" Target="https://www.kca.go.kr/kca/sub.do?menukey=5113&amp;mode=view&amp;no=1004559980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20" customWidth="1" min="3" max="3"/>
    <col width="20" customWidth="1" min="4" max="4"/>
    <col width="16" customWidth="1" min="5" max="5"/>
    <col width="26" customWidth="1" min="6" max="6"/>
    <col width="10" customWidth="1" min="7" max="7"/>
    <col width="8" customWidth="1" min="8" max="8"/>
    <col width="10" customWidth="1" min="9" max="9"/>
    <col width="12" customWidth="1" min="10" max="10"/>
    <col width="12" customWidth="1" min="11" max="11"/>
    <col width="12" customWidth="1" min="12" max="12"/>
    <col width="9" customWidth="1" min="13" max="13"/>
    <col width="12" customWidth="1" min="14" max="14"/>
    <col width="12" customWidth="1" min="15" max="15"/>
    <col width="12" customWidth="1" min="16" max="16"/>
    <col width="46" customWidth="1" min="17" max="17"/>
    <col width="40" customWidth="1" min="18" max="18"/>
    <col width="40" customWidth="1" min="19" max="19"/>
    <col width="30" customWidth="1" min="20" max="20"/>
    <col width="28" customWidth="1" min="21" max="21"/>
    <col width="26" customWidth="1" min="22" max="22"/>
    <col width="18" customWidth="1" min="23" max="23"/>
    <col width="46" customWidth="1" min="24" max="24"/>
  </cols>
  <sheetData>
    <row r="1">
      <c r="A1" s="1" t="inlineStr">
        <is>
          <t>순번</t>
        </is>
      </c>
      <c r="B1" s="1" t="inlineStr">
        <is>
          <t>구분</t>
        </is>
      </c>
      <c r="C1" s="1" t="inlineStr">
        <is>
          <t>기관명</t>
        </is>
      </c>
      <c r="D1" s="1" t="inlineStr">
        <is>
          <t>채용유형</t>
        </is>
      </c>
      <c r="E1" s="1" t="inlineStr">
        <is>
          <t>직렬태그</t>
        </is>
      </c>
      <c r="F1" s="1" t="inlineStr">
        <is>
          <t>모집직렬_원문</t>
        </is>
      </c>
      <c r="G1" s="1" t="inlineStr">
        <is>
          <t>인원</t>
        </is>
      </c>
      <c r="H1" s="1" t="inlineStr">
        <is>
          <t>대상</t>
        </is>
      </c>
      <c r="I1" s="1" t="inlineStr">
        <is>
          <t>학교장추천</t>
        </is>
      </c>
      <c r="J1" s="1" t="inlineStr">
        <is>
          <t>추천마감</t>
        </is>
      </c>
      <c r="K1" s="1" t="inlineStr">
        <is>
          <t>접수시작</t>
        </is>
      </c>
      <c r="L1" s="1" t="inlineStr">
        <is>
          <t>접수마감</t>
        </is>
      </c>
      <c r="M1" s="1" t="inlineStr">
        <is>
          <t>상태</t>
        </is>
      </c>
      <c r="N1" s="1" t="inlineStr">
        <is>
          <t>필기일</t>
        </is>
      </c>
      <c r="O1" s="1" t="inlineStr">
        <is>
          <t>면접일</t>
        </is>
      </c>
      <c r="P1" s="1" t="inlineStr">
        <is>
          <t>최종발표</t>
        </is>
      </c>
      <c r="Q1" s="1" t="inlineStr">
        <is>
          <t>전형절차</t>
        </is>
      </c>
      <c r="R1" s="1" t="inlineStr">
        <is>
          <t>필기과목</t>
        </is>
      </c>
      <c r="S1" s="1" t="inlineStr">
        <is>
          <t>가점·자격</t>
        </is>
      </c>
      <c r="T1" s="1" t="inlineStr">
        <is>
          <t>성적요건</t>
        </is>
      </c>
      <c r="U1" s="1" t="inlineStr">
        <is>
          <t>공고링크</t>
        </is>
      </c>
      <c r="V1" s="1" t="inlineStr">
        <is>
          <t>관련서류</t>
        </is>
      </c>
      <c r="W1" s="1" t="inlineStr">
        <is>
          <t>출처</t>
        </is>
      </c>
      <c r="X1" s="1" t="inlineStr">
        <is>
          <t>비고</t>
        </is>
      </c>
    </row>
    <row r="2" ht="58" customHeight="1">
      <c r="A2" s="2" t="inlineStr"/>
      <c r="B2" s="2" t="inlineStr">
        <is>
          <t>확인필요</t>
        </is>
      </c>
      <c r="C2" s="2" t="inlineStr">
        <is>
          <t>국민건강보험공단</t>
        </is>
      </c>
      <c r="D2" s="2" t="inlineStr">
        <is>
          <t>정규직</t>
        </is>
      </c>
      <c r="E2" s="2" t="inlineStr">
        <is>
          <t>전자</t>
        </is>
      </c>
      <c r="F2" s="2" t="inlineStr">
        <is>
          <t>경영.회계.사무,보건.의료,사회복지.종교,이용.숙박.여행.오락.스포츠,정보통신</t>
        </is>
      </c>
      <c r="G2" s="2" t="n">
        <v>374</v>
      </c>
      <c r="H2" s="2" t="inlineStr">
        <is>
          <t>공통</t>
        </is>
      </c>
      <c r="I2" s="2" t="inlineStr">
        <is>
          <t>미표기</t>
        </is>
      </c>
      <c r="J2" s="3" t="inlineStr"/>
      <c r="K2" s="3" t="n">
        <v>46280</v>
      </c>
      <c r="L2" s="3" t="n">
        <v>46294</v>
      </c>
      <c r="M2" s="2">
        <f>IF($L2="","미정",IF($L2&lt;TODAY(),"마감",IF($L2-TODAY()&lt;=7,"임박","진행중")))</f>
        <v/>
      </c>
      <c r="N2" s="3" t="inlineStr"/>
      <c r="O2" s="3" t="inlineStr"/>
      <c r="P2" s="3" t="inlineStr"/>
      <c r="Q2" s="2" t="inlineStr">
        <is>
          <t>1. 공개경쟁 일반, 제한경쟁 일반 및 제한경쟁 강원인재 - 지원서 접수 - 1차(서류심사) 일반ㆍ강원인재 7배수, 자격요건 확인 및 직무능력중심 정량+정성평가 - 2차(필기시험) 2배수(단, 전산직 및 채용인원이 2명 이하인 모집단위는 3배수), NCS 기반 직업기초능력+직무시험(법률) - 3차(인성검사, 증빙서류 제출) 미실시자 면접응시 포기로 간주 - 4차(최종, 면접시험) 경험행동면접+상황면접+토론면접* * (전산직) 코딩테스트 + 과제면접으로 토론면접 대체 - 수습임용 2. 제한경쟁 장애 및 제한경쟁 보훈 - 지원서 접수 - 1차(서류심사) 5배수, 자격요건 확인 및 직무능력중심 정량+정성평가 - 2차(인성검사, 증빙서류 제출) 미실시자 면접응시 포기로 간주 - 3차(최종, 면접시험) 경험행동면접+상황면접+토론면접 - 수습임용 ※ 상세내용은 공고 참조</t>
        </is>
      </c>
      <c r="R2" s="2" t="inlineStr"/>
      <c r="S2" s="2" t="inlineStr">
        <is>
          <t>- 국가유공자 등 예우 및 지원에 관한 법률 등에 따른 취업지원대상자 - 장애인고용촉진 및 직업재활법 제2조에 따른 장애인 또는 중증장애인(장애제한경쟁에서는 별도 가점부여 등 우대하지 않음) - 국민기초생활 보장법 제2조제2호에 따른 수급자 - 한부모가족지원법에 따른 지원대상자 - 다문화가족지원법 제2조에 따른 다문화가족 해당자 - 북한이탈주민의 보호 및 정착지원에 관한 법률에 따른 북한이탈주민 - 아동복지법 제16조 및 제16조의3에 따라 보호조치가 종료되거나 해당 시설에서 퇴소한 자 - 혁신도시 조성 및 발전에 관한 특별법 제29조의2에 따라 최종학력 기준 강원도 소재 지방대학(대학원 제외) 또는 고등학교를 졸업하였거나, 졸업예정인 사람(제한경쟁 강원인재에서는 가점부여 등 우대하지 않음) - ’26.9.14.기준 주민등록상 주소지가 지원하려는 모집권역으로 되어있는 사람(전산직, 강원인재(전국)에서는 가점부여 등 우대하지 않음) - ’23.1.1. 이후 우리 공단 근무경력 120일 이상이거나, ’23.1.1. 이후 일산병원, 서울요양원, 우리 공단 고객센터 중 한 기관의 근무경력 730일 이상인 사람 - ’23.1.1. 이후 우리 공단 청년인턴 근무경력 9</t>
        </is>
      </c>
      <c r="T2" s="2" t="inlineStr"/>
      <c r="U2" s="4" t="inlineStr">
        <is>
          <t>http://www.nhis.or.kr/nhis/together/wbhaea02700m01.do?mode=view&amp;articleNo=11013562&amp;article.offset=0&amp;articleLimit=10</t>
        </is>
      </c>
      <c r="V2" s="2" t="inlineStr">
        <is>
          <t>https://job.alio.go.kr/recruitview.do?idx=305006</t>
        </is>
      </c>
      <c r="W2" s="2" t="inlineStr">
        <is>
          <t>공공데이터 오픈API(2026-09-16 수집)</t>
        </is>
      </c>
      <c r="X2" s="2" t="inlineStr">
        <is>
          <t>🔵 잡알리오 신규 — 시트 반영 검토 필요 / 학력요건: 학력무관,고졸 (고졸 지원 가능, 타 학력과 병행 선발) / 근무지: 서울,부산,대구,인천,대전,울산,세종,경기,강원,충북,충남,전북,전남광주,경북,경남,제주 / 응시자격: 1. 공통 응시 자격요건 ○ 성별, 연령, 학력(행정직 6급나 제외)에 대한 제한이 없으나, 임용일(’26.12.28.) 기준 60세 이상(정년)인 사람은 지원할 수 없음 ○ 대한민국 국적을 소지한 자 ○ 6급가 지원자 중 남성은 병역 필 또는 면제자여야 함(다만, 임용일(’26.12.28.) 이전 전역예정자는 지원 가능</t>
        </is>
      </c>
    </row>
    <row r="3" ht="58" customHeight="1">
      <c r="A3" s="2" t="inlineStr"/>
      <c r="B3" s="2" t="inlineStr">
        <is>
          <t>확인필요</t>
        </is>
      </c>
      <c r="C3" s="2" t="inlineStr">
        <is>
          <t>국토안전관리원</t>
        </is>
      </c>
      <c r="D3" s="2" t="inlineStr">
        <is>
          <t>정규직,청년인턴(채용형)</t>
        </is>
      </c>
      <c r="E3" s="2" t="inlineStr">
        <is>
          <t>기계;시설;전자</t>
        </is>
      </c>
      <c r="F3" s="2" t="inlineStr">
        <is>
          <t>사업관리,경영.회계.사무,교육.자연.사회과학,운전.운송,건설,정보통신</t>
        </is>
      </c>
      <c r="G3" s="2" t="n">
        <v>18</v>
      </c>
      <c r="H3" s="2" t="inlineStr">
        <is>
          <t>확인필요</t>
        </is>
      </c>
      <c r="I3" s="2" t="inlineStr">
        <is>
          <t>미표기</t>
        </is>
      </c>
      <c r="J3" s="3" t="inlineStr"/>
      <c r="K3" s="3" t="n">
        <v>46279</v>
      </c>
      <c r="L3" s="3" t="n">
        <v>46294</v>
      </c>
      <c r="M3" s="2">
        <f>IF($L3="","미정",IF($L3&lt;TODAY(),"마감",IF($L3-TODAY()&lt;=7,"임박","진행중")))</f>
        <v/>
      </c>
      <c r="N3" s="3" t="inlineStr"/>
      <c r="O3" s="3" t="inlineStr"/>
      <c r="P3" s="3" t="inlineStr"/>
      <c r="Q3" s="2" t="inlineStr">
        <is>
          <t>■ 경력직 1차. 서류전형: 지원자 전원 지원자격 적·부 판정, 비계량평가(5배수) 2차. 면접전형: 발표·상황면접(1배수) 3차. 결격사유조회 및 최종임용: 적격 여부, 자격 등 진위 여부(1배수) ■ 신입직 1차. 서류전형: 지원자 전원 지원자격 적·부 판정, 계량평가(30배수) 2차. 필기전형: 조직적합도검사, 직업기초능력평가, 직무수행능력평가(3배수 또는 4배수) 3차. 면접전형: KALIS FIT면접·직무역량 구술면접(1배수) 4차. 결격사유조회 및 최종임용: 적격 여부, 자격 등 진위 여부(1배수) ■ 고졸 1차. 서류전형: 지원자 전원 지원자격 적·부 판정, 비계량평가(5배수) 2차. 면접전형: 인성·직무면접(1배수) 3차. 결격사유조회 및 최종임용: 적격 여부, 자격 등 진위 여부(1배수) ※ 보다 자세한 사항은 첨부파일의 채용공고문을 참조</t>
        </is>
      </c>
      <c r="R3" s="2" t="inlineStr"/>
      <c r="S3" s="2" t="inlineStr">
        <is>
          <t>■ 법정가점 - 「국가유공자 등 예우 및 지원에 관한 법률」 등 관계법령에 따른 취업지원대상자: 각 과목 만점의 각 10% 또는 각 5% ■ 특별가점(최대 10%) - 「장애인고용촉진 및 직업재활법」 상의 중증장애인: 서류 5%, 필기 5% - 「장애인고용촉진 및 직업재활법」 상의 경증장애인: 서류 5%, 필기 3% - 「아동복지법」상 자립준비청년, 「국민기초생활보장법」상 기초생활수급자, 「한부모가족지원법」상 한부모가족 지원대상자, 「다문화가족지원법」에 따른 다문화가족, 「북한이탈주민의 보호 및 정착지원에 관한 법률」상 북한이탈주민 중의 어느 하나에 해당하는 경우: 서류 5%, 필기 2% - 국토안전원이 대국민을 대상으로 주최·주관한 공모전 또는 프로그램을 통해 원장상 이상의 표창을 수상한 자: 서류 3% - 국토안전원에 1년 이상 재직한 자: 서류 5%, 필기 2% - 국토안전원 체험형청년인턴 수료자: 서류 1%, 필기 0.5% - 국토안전원 체험형청년인턴 준우수수료자: 서류 2%, 필기 1% - 국토안전원 체험형청년인턴 우수수료자: 서류 3%, 필기 2% - 한국사능력검정시험 1급 자격증 소지자: 필기 2% - 한국사능력검정시험 2급 자격증 소지자: 필기</t>
        </is>
      </c>
      <c r="T3" s="2" t="inlineStr"/>
      <c r="U3" s="4" t="inlineStr">
        <is>
          <t>https://www.kalis.or.kr/www/brd/m_630/view.do?seq=321&amp;srchFr=&amp;srchTo=&amp;srchWord=&amp;srchTp=&amp;itm_seq_1=0&amp;itm_seq_2=0&amp;multi_itm_seq=0&amp;company_cd=&amp;company_nm=&amp;p_stat=&amp;p_itmseq1=&amp;diviTp=</t>
        </is>
      </c>
      <c r="V3" s="2" t="inlineStr">
        <is>
          <t>https://job.alio.go.kr/recruitview.do?idx=304933</t>
        </is>
      </c>
      <c r="W3" s="2" t="inlineStr">
        <is>
          <t>공공데이터 오픈API(2026-09-16 수집)</t>
        </is>
      </c>
      <c r="X3" s="2" t="inlineStr">
        <is>
          <t>🔵 잡알리오 신규 — 시트 반영 검토 필요 / 학력요건: 학력무관,고졸,석사,박사 (고졸 지원 가능, 타 학력과 병행 선발) / 근무지: 강원,충북,전남광주,경북,경남 / 응시자격: ■ 경력직 - 지원 직무별 요건 중 한 가지 이상을 충족하는 자 ※ 보다 자세한 사항은 첨부파일의 채용공고문을 참조 ■ 신입직(행정) - 입사일 기준 만 18세 이상 만 34세 이하 청년인 자 ■ 신입직(토목, 건축) ※ 아래 요건 모두를 충족하는 자 - 입사일 기준 만 18세 이상 만 34세 이하 청년인 자 - 해당분야</t>
        </is>
      </c>
    </row>
    <row r="4" ht="58" customHeight="1">
      <c r="A4" s="2" t="inlineStr"/>
      <c r="B4" s="2" t="inlineStr">
        <is>
          <t>확인필요</t>
        </is>
      </c>
      <c r="C4" s="2" t="inlineStr">
        <is>
          <t>한국토지주택공사</t>
        </is>
      </c>
      <c r="D4" s="2" t="inlineStr">
        <is>
          <t>청년인턴(채용형)</t>
        </is>
      </c>
      <c r="E4" s="2" t="inlineStr">
        <is>
          <t>시설;기계;전기;전자</t>
        </is>
      </c>
      <c r="F4" s="2" t="inlineStr">
        <is>
          <t>사업관리,경영.회계.사무,법률.경찰.소방.교도.국방,사회복지.종교,문화.예술.디자인.방송,영업판매,건설,기계,화학,전기.전자,정보통신,환경.에너지.안전</t>
        </is>
      </c>
      <c r="G4" s="2" t="n">
        <v>235</v>
      </c>
      <c r="H4" s="2" t="inlineStr">
        <is>
          <t>공통</t>
        </is>
      </c>
      <c r="I4" s="2" t="inlineStr">
        <is>
          <t>미표기</t>
        </is>
      </c>
      <c r="J4" s="3" t="inlineStr"/>
      <c r="K4" s="3" t="n">
        <v>46280</v>
      </c>
      <c r="L4" s="3" t="n">
        <v>46294</v>
      </c>
      <c r="M4" s="2">
        <f>IF($L4="","미정",IF($L4&lt;TODAY(),"마감",IF($L4-TODAY()&lt;=7,"임박","진행중")))</f>
        <v/>
      </c>
      <c r="N4" s="3" t="inlineStr"/>
      <c r="O4" s="3" t="inlineStr"/>
      <c r="P4" s="3" t="inlineStr"/>
      <c r="Q4" s="2" t="inlineStr">
        <is>
          <t>□ (1차) 서류전형 : 30배수 ㅇ (5급 일반·보훈) 어학(영어)(70점), 자격증 등(30점), 가산점 반영 * 기준점수(TOEIC 990점) 대비 득점에 비례하여 점수 부여 - 합격자 선정 : 어학성적·자격증 등 평가 점수에 가산점을 합산한 총점의 고득점자 순 ㅇ (6급 일반·보훈) 어학(10점), 자격증 등(90점), 가산점 반영 - 합격자 선정 : 어학성적·자격증 등 평가 점수에 가산점을 합산한 총점의 고득점자 순 ㅇ (5·6급 일반·보훈) 공통사항 - 동점자 전원 선발, 서류전형 면제자는 배수 외 추가선발 - 항목별 만점의 40%를 기본점수로 부여 ㅇ (5·6급 장애인) 지원자격에 부합하는 경우, 전원 선발 ※ 지원자격 기재사항이 허위로 판명될 경우 불합격 처리 등 불이익을 받을 수 있음 □ (2차) 필기전형 : (일반) 2~4배수, (보훈·장애인) 4~8배수 ㅇ (대상) 서류전형 합격자 ㅇ 5급 - (일반·보훈) NCS 직업기초능력 20% + 직무역량 80%, 140분 보훈전형은 NCS 직업기초능력과 직무역량검사를 모두 응시하되, NCS 직업기초능력 100%로 합격자 선정함. 다만, 직무역량평가 결과(가산점 제외) 만점의 40% 미만 득점시 과</t>
        </is>
      </c>
      <c r="R4" s="2" t="inlineStr"/>
      <c r="S4" s="2" t="inlineStr">
        <is>
          <t xml:space="preserve">ㅇ (특별우대) 취업지원대상자(국가유공자법 등), 장애인, 저소득층, 북한이탈주민, 다문화가족, 자립준비청년, 이전지역인재 등 서류전형 등 전형별 만점의 5%~10% 가산점 부여 ㅇ (일반우대) 고급자격증 소지자, 공사가 주최한 공모전 수상자 등 전형별 만점의 3%~10% 가산점 부여, 해당자 전원 서류전형 면제 ㅇ (청년인턴) 탁월-서류전형 면제 및 필기전형 만점의 3%, 우수-서류전형 면제, 성실-서류전형 만점의 5% 가산점 부여 ※ 특별우대가산점은 본인에 가장 유리한 가산점 1개만 인정하고, 일반우대가산점은 대상별로 각 1개만 인정하며 대상별로는 가산 점수가 적용되는 각 전형단계별로 중복하여 적용 ※ 취업지원대상자 가산점은 「국가유공자 등 예우 및 지원에 관한 법률」 제31조에 따라 적용 * 보다 자세한 사항은 공고문 참조 ㅇ (특별우대) 취업지원대상자(국가유공자법 등), 장애인, 저소득층, 북한이탈주민, 다문화가족, 자립준비청년, 이전지역인재 등 서류전형 등 전형별 만점의 5%~10% 가산점 부여, ㅇ (일반우대) 고급자격증 소지자, 공사가 주최한 공모전 수상자 등 전형별 만점의 3%~10% 가산점 부여, 해당자 전원 서류전형 면제, ㅇ (청년인턴) </t>
        </is>
      </c>
      <c r="T4" s="2" t="inlineStr"/>
      <c r="U4" s="4" t="inlineStr">
        <is>
          <t>https://www.lh.or.kr/board.es?mid=a10602060000&amp;bid=0053&amp;act=view&amp;list_no=734050&amp;tag=&amp;nPage=1</t>
        </is>
      </c>
      <c r="V4" s="2" t="inlineStr">
        <is>
          <t>https://job.alio.go.kr/recruitview.do?idx=304958</t>
        </is>
      </c>
      <c r="W4" s="2" t="inlineStr">
        <is>
          <t>공공데이터 오픈API(2026-09-16 수집)</t>
        </is>
      </c>
      <c r="X4" s="2" t="inlineStr">
        <is>
          <t>🔵 잡알리오 신규 — 시트 반영 검토 필요 / 학력요건: 학력무관,고졸 (고졸 지원 가능, 타 학력과 병행 선발) / 근무지: 서울,부산,대구,인천,대전,울산,세종,경기,강원,충북,충남,전북,전남광주,경북,경남,제주 / 응시자격: □ 5급 일반·보훈 ㅇ 자격증 - 사무직(일반행정, 전문-법률·회계) : 제한없음 - 사무직(전문-전산·국가유산), 기술직(전체) : 해당 모집직무 지원자격 자격증 보유자 ㅇ (보훈전형) 「국가유공자 등 예우 및 지원에 관한 법률」 등에 따른 취업지원대상자 □ 5급 장애인 ㅇ (기본자격) 「장애인고용촉진 및 직업재활법」에</t>
        </is>
      </c>
    </row>
    <row r="5" ht="58" customHeight="1">
      <c r="A5" s="2" t="inlineStr"/>
      <c r="B5" s="2" t="inlineStr">
        <is>
          <t>확인필요</t>
        </is>
      </c>
      <c r="C5" s="2" t="inlineStr">
        <is>
          <t>한국소비자원</t>
        </is>
      </c>
      <c r="D5" s="2" t="inlineStr">
        <is>
          <t>정규직,무기계약직,청년인턴(채용형)</t>
        </is>
      </c>
      <c r="E5" s="2" t="inlineStr">
        <is>
          <t>기계;전기;전자;시설</t>
        </is>
      </c>
      <c r="F5" s="2" t="inlineStr">
        <is>
          <t>경영.회계.사무,법률.경찰.소방.교도.국방,보건.의료,기계,화학,전기.전자,환경.에너지.안전,연구</t>
        </is>
      </c>
      <c r="G5" s="2" t="n">
        <v>30</v>
      </c>
      <c r="H5" s="5" t="inlineStr">
        <is>
          <t>재학생</t>
        </is>
      </c>
      <c r="I5" s="2" t="inlineStr">
        <is>
          <t>미표기</t>
        </is>
      </c>
      <c r="J5" s="3" t="inlineStr"/>
      <c r="K5" s="3" t="n">
        <v>46280</v>
      </c>
      <c r="L5" s="3" t="n">
        <v>46295</v>
      </c>
      <c r="M5" s="2">
        <f>IF($L5="","미정",IF($L5&lt;TODAY(),"마감",IF($L5-TODAY()&lt;=7,"임박","진행중")))</f>
        <v/>
      </c>
      <c r="N5" s="3" t="inlineStr"/>
      <c r="O5" s="3" t="inlineStr"/>
      <c r="P5" s="3" t="inlineStr"/>
      <c r="Q5" s="2" t="inlineStr">
        <is>
          <t xml:space="preserve">- 1차(서류전형) : 종합평가점수 60점 이상 지원자 중 고득점자 순으로 채용예정인원의 50배수* 선발 * 일반직(일반) 50배수, 일반직(보훈, 장애인, 고졸, 이공계, 분쟁해결, 안전관리, 정보화) 및 시험연구직 30배수, 일반직(변호사), 연구직 및 공무직은 10배수 선발 ※ 일반직(일반, 보훈, 장애인, 고졸, 이공계), 시험연구직 : 교육사항, 자격사항, 경력(경험)사항, 자기소개서 평가(총 100점) ※ 일반직(분쟁해결, 안전관리, 정보화, 변호사) : 교육사항, 자격사항, 경력(경험)사항, 직무수행능력서, 자기소개서 평가(총 100점) ※ 연구직 : 교육사항, 경력(경험)사항, 연구실적, 연구계획서 평가(총 100점) ※ 공무직 : 자격사항, 경력(경험)사항, 자기소개서 평가(총 100점) - 2차(필기전형) : 종합평가점수 고득점 순으로 채용예정 인원의 5배수 선발 / 직업기초능력평가, 직무수행능력평가(총 100점) ※ 일반직(변호사), 연구직, 공무직 분야는 필기전형 제외 ※ 일반직(고졸, 분쟁해결, 안전관리, 정보화) 분야는 직무수행능력평가 제외 - 3차(면접전형) : 종합평가점수 80점 이상 지원자 중 고득점 순으로 채용 예정인원 선발 </t>
        </is>
      </c>
      <c r="R5" s="2" t="inlineStr"/>
      <c r="S5" s="2" t="inlineStr">
        <is>
          <t>- 국가유공자, 국가보훈대상자는 관련 법령에 따라 우대 - 장애인, 저소득층, 북한이탈주민, 다문화가족 및 지역인재(비수도권 및 이전지역 인재, 대학원을 제외한 최종학교 소재지 기준), 자립준비청년은 서류전형 시 가점 부여 - 한국사 자격증 1,2급 소지자, 산업안전기사 자격 소지자는 서류전형 시 가점 부여 - '25년 한국소비자원 우수 청년인턴으로 선발된 자는 서류전형 및 필기전형 시 가점 부여 - 각 채용 분야별 우대요건은 서류전형 시 가점 부여 취업지원대상자, 장애인, 이전지역인재, 비수도권 지역인재, 한국사시험자격소지자, 한국소비자원 우수 청년인턴, 산업안전기사 자격 소지자, 저소득층, 북한이탈주민, 다문화가족, 자립준비청년</t>
        </is>
      </c>
      <c r="T5" s="2" t="inlineStr"/>
      <c r="U5" s="4" t="inlineStr">
        <is>
          <t>https://www.kca.go.kr/kca/sub.do?menukey=5113&amp;mode=view&amp;no=1004559980</t>
        </is>
      </c>
      <c r="V5" s="2" t="inlineStr">
        <is>
          <t>https://job.alio.go.kr/recruitview.do?idx=304989</t>
        </is>
      </c>
      <c r="W5" s="2" t="inlineStr">
        <is>
          <t>공공데이터 오픈API(2026-09-16 수집)</t>
        </is>
      </c>
      <c r="X5" s="2" t="inlineStr">
        <is>
          <t>🔵 잡알리오 신규 — 시트 반영 검토 필요 / 학력요건: 학력무관,고졸,대졸(4년),박사 (고졸 지원 가능, 타 학력과 병행 선발) / 근무지: 서울,부산,대구,대전,경기,충북,전남광주,제주 / 응시자격: - 채용형 인턴(일반직_일반) : (학력 및 전공) 제한 없음 - 채용형 인턴(일반직_보훈) : (요건) 「국가유공자 등 예우 및 지원에 관한 법률」에 따른 취업지원대상자, (학력 및 전공) 제한 없음 - 채용형 인턴(일반직_장애인) : (요건) 「장애인고용촉진 및 직업재활법 시행령」 제3조에 의한 장애인 - 채용형 인턴</t>
        </is>
      </c>
    </row>
  </sheetData>
  <autoFilter ref="A1:X5"/>
  <hyperlinks>
    <hyperlink xmlns:r="http://schemas.openxmlformats.org/officeDocument/2006/relationships" ref="U2" r:id="rId1"/>
    <hyperlink xmlns:r="http://schemas.openxmlformats.org/officeDocument/2006/relationships" ref="U3" r:id="rId2"/>
    <hyperlink xmlns:r="http://schemas.openxmlformats.org/officeDocument/2006/relationships" ref="U4" r:id="rId3"/>
    <hyperlink xmlns:r="http://schemas.openxmlformats.org/officeDocument/2006/relationships" ref="U5" r:id="rId4"/>
  </hyperlink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6" t="inlineStr">
        <is>
          <t>⚠️ 반드시 원문 공고를 직접 확인하세요</t>
        </is>
      </c>
    </row>
    <row r="2">
      <c r="A2" s="7" t="inlineStr"/>
    </row>
    <row r="3">
      <c r="A3" s="7" t="inlineStr">
        <is>
          <t>이 표는 잡알리오(공공기관 채용정보시스템) 요약을 자동으로 긁어 정리한 것입니다.</t>
        </is>
      </c>
    </row>
    <row r="4">
      <c r="A4" s="7" t="inlineStr"/>
    </row>
    <row r="5">
      <c r="A5" s="7" t="inlineStr">
        <is>
          <t>· '대상(재학생/졸업생)'과 '학교장추천'은 공고 문구로 추정한 값입니다.</t>
        </is>
      </c>
    </row>
    <row r="6">
      <c r="A6" s="7" t="inlineStr">
        <is>
          <t>· 학교장 추천 마감일, 제출 서류, 세부 자격요건은 잡알리오에 실려 있지 않습니다.</t>
        </is>
      </c>
    </row>
    <row r="7">
      <c r="A7" s="7" t="inlineStr">
        <is>
          <t>· 추천 마감이 원서접수보다 한 달 넘게 앞서는 경우가 있습니다.</t>
        </is>
      </c>
    </row>
    <row r="8">
      <c r="A8" s="7" t="inlineStr">
        <is>
          <t>· '고졸 지원 가능, 타 학력과 병행 선발'로 표시된 건은 대졸과 함께 뽑는 공고입니다.</t>
        </is>
      </c>
    </row>
    <row r="9">
      <c r="A9" s="7" t="inlineStr"/>
    </row>
    <row r="10">
      <c r="A10" s="7" t="inlineStr">
        <is>
          <t>학생에게 안내하거나 추천 절차를 진행하기 전에, '공고링크' 열의 주소로</t>
        </is>
      </c>
    </row>
    <row r="11">
      <c r="A11" s="7" t="inlineStr">
        <is>
          <t>기관 채용 사이트의 원문 공고문을 반드시 열어 확인해 주세요.</t>
        </is>
      </c>
    </row>
    <row r="12">
      <c r="A12" s="7" t="inlineStr"/>
    </row>
    <row r="13">
      <c r="A13" s="7" t="inlineStr">
        <is>
          <t>이 파일은 구글시트 '공고2026' 탭과 열 순서가 같습니다.</t>
        </is>
      </c>
    </row>
    <row r="14">
      <c r="A14" s="7" t="inlineStr">
        <is>
          <t>필요한 행만 골라 시트 맨 아래에 붙여넣고, 순번·구분을 채운 뒤 비고의 🔵를 지우세요.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2026-09-16T01:44:14Z</dcterms:created>
  <dcterms:modified xmlns:dcterms="http://purl.org/dc/terms/" xmlns:xsi="http://www.w3.org/2001/XMLSchema-instance" xsi:type="dcterms:W3CDTF">2026-09-16T01:44:14Z</dcterms:modified>
</cp:coreProperties>
</file>